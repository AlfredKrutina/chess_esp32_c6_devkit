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Programming\Git\chess_esp32_c6_devkit\tools\"/>
    </mc:Choice>
  </mc:AlternateContent>
  <xr:revisionPtr revIDLastSave="0" documentId="11_B17587049D275A547EA8DE77257056E75A8C6A76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oupit" sheetId="1" r:id="rId1"/>
    <sheet name="Měření" sheetId="2" r:id="rId2"/>
    <sheet name="Limity" sheetId="3" r:id="rId3"/>
  </sheets>
  <definedNames>
    <definedName name="_xlnm.Print_Area" localSheetId="0">Koupit!$A$1:$L$14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H5" i="2"/>
  <c r="G5" i="2"/>
  <c r="F5" i="2"/>
  <c r="E5" i="2"/>
  <c r="H4" i="2"/>
  <c r="G4" i="2"/>
  <c r="F4" i="2"/>
  <c r="E4" i="2"/>
  <c r="H3" i="2"/>
  <c r="G3" i="2"/>
  <c r="F3" i="2"/>
  <c r="E3" i="2"/>
  <c r="G2" i="2"/>
  <c r="F2" i="2"/>
  <c r="E2" i="2"/>
  <c r="I10" i="1"/>
  <c r="I9" i="1"/>
  <c r="I8" i="1"/>
  <c r="I7" i="1"/>
  <c r="I6" i="1"/>
  <c r="D31" i="2" l="1"/>
  <c r="D30" i="2"/>
  <c r="D29" i="2"/>
  <c r="D28" i="2"/>
  <c r="D24" i="2"/>
  <c r="D22" i="2"/>
  <c r="D21" i="2"/>
  <c r="D20" i="2"/>
  <c r="D19" i="2"/>
  <c r="D16" i="2"/>
  <c r="D15" i="2"/>
  <c r="D13" i="2"/>
  <c r="D4" i="2"/>
  <c r="D3" i="2"/>
  <c r="D2" i="2"/>
  <c r="D14" i="2"/>
  <c r="D27" i="2"/>
  <c r="D17" i="2"/>
  <c r="D11" i="2"/>
  <c r="D10" i="2"/>
  <c r="D26" i="2"/>
  <c r="D23" i="2"/>
  <c r="D25" i="2"/>
  <c r="D18" i="2"/>
  <c r="D9" i="2"/>
  <c r="D12" i="2"/>
  <c r="D5" i="2"/>
  <c r="D7" i="2"/>
  <c r="D8" i="2"/>
  <c r="D6" i="2"/>
</calcChain>
</file>

<file path=xl/sharedStrings.xml><?xml version="1.0" encoding="utf-8"?>
<sst xmlns="http://schemas.openxmlformats.org/spreadsheetml/2006/main" count="107" uniqueCount="97">
  <si>
    <t>Objednávka, jeden kotouč na figurku</t>
  </si>
  <si>
    <t>Koupeno jako dvě sady figurek (16 pěšců, 4 jezdci, 4 střelci, 4 věže, 2 dámy, 2 králové), věž jen jednou. Magnetů je 60, protiplechů 80, samolepek 70. Energie pěšce je měření bez plechu. Ostatní energie jsou odhad ze stejné mezery, taky bez plechu.</t>
  </si>
  <si>
    <t>Figurka</t>
  </si>
  <si>
    <t>Kotouč</t>
  </si>
  <si>
    <t>Tah</t>
  </si>
  <si>
    <t>Koupeno</t>
  </si>
  <si>
    <t>Sada</t>
  </si>
  <si>
    <t>Druhá sada</t>
  </si>
  <si>
    <t>Energie</t>
  </si>
  <si>
    <t>S plechem</t>
  </si>
  <si>
    <t>Poměr</t>
  </si>
  <si>
    <t>Zdroj</t>
  </si>
  <si>
    <t>Poznámka</t>
  </si>
  <si>
    <t>Odkaz</t>
  </si>
  <si>
    <t>pěšec</t>
  </si>
  <si>
    <t>Ø 10×1 mm, N42</t>
  </si>
  <si>
    <t>0,5 kg</t>
  </si>
  <si>
    <t>ano</t>
  </si>
  <si>
    <t>—</t>
  </si>
  <si>
    <t>naměřeno</t>
  </si>
  <si>
    <t>Bez protiplechu je pod 150 000. Plech na zádech to může zvednout, číslo sem nepiš, dokud to nezměříš.</t>
  </si>
  <si>
    <t>https://www.unimagnet.cz/neodymovy-magnet-kotouc-10-mm-v-1-mm-sila-500-g_z42/</t>
  </si>
  <si>
    <t>jezdec</t>
  </si>
  <si>
    <t>Ø 10×2 mm, N42</t>
  </si>
  <si>
    <t>1,3 kg</t>
  </si>
  <si>
    <t>odhad</t>
  </si>
  <si>
    <t>Odhad je asi 3× nad naměřeným pěšcem. Pěšec ale sám o sobě deska nemusí vidět.</t>
  </si>
  <si>
    <t>https://www.unimagnet.cz/neodymovy-magnet-kotouc-10-mm-v-2-mm-sila-1-3-kg_z56/</t>
  </si>
  <si>
    <t>střelec</t>
  </si>
  <si>
    <t>Ø 10×3 mm, N42</t>
  </si>
  <si>
    <t>1,8 kg</t>
  </si>
  <si>
    <t>Odhad 1,8× nad jezdcem. Jeden kotouč místo tří tenkých.</t>
  </si>
  <si>
    <t>https://www.unimagnet.cz/neodymovy-magnet-kotouc-10-mm-v-3-mm-sila-1-8-kg_z113/</t>
  </si>
  <si>
    <t>věž</t>
  </si>
  <si>
    <t>Ø 10×5 mm, N38</t>
  </si>
  <si>
    <t>2,7 kg</t>
  </si>
  <si>
    <t>ne</t>
  </si>
  <si>
    <t>Odhad jen 1,6× nad střelcem. Druhá sada chybí, jsou jen 4 kusy.</t>
  </si>
  <si>
    <t>https://www.unimagnet.cz/neodymovy-magnet-kotouc-10-mm-v-5-mm-sila-2-7-kg_z243/</t>
  </si>
  <si>
    <t>dáma</t>
  </si>
  <si>
    <t>Ø 10×8 mm, N42</t>
  </si>
  <si>
    <t>3,7 kg</t>
  </si>
  <si>
    <t>Odhad 1,8× nad věží. Tah 3,7 kg, figurky se budou cukat.</t>
  </si>
  <si>
    <t>https://www.unimagnet.cz/neodymovy-magnet-kotouc-10-mm-v-8-mm-sila-3-7-kg_z331/</t>
  </si>
  <si>
    <t>král</t>
  </si>
  <si>
    <t>Ø 12×6 mm, N42</t>
  </si>
  <si>
    <t>4,5 kg</t>
  </si>
  <si>
    <t>Odhad 1,25× nad dámou. S dámou se to může slít. Plech Ø 11 je menší než kotouč.</t>
  </si>
  <si>
    <t>https://www.unimagnet.cz/neodymovy-magnet-kotouc-12-mm-v-6-mm-sila-4-5-kg_z45/</t>
  </si>
  <si>
    <t>Příslušenství, jeden kus na magnet a rezerva</t>
  </si>
  <si>
    <t>protiplech</t>
  </si>
  <si>
    <t>OP-11-01-Zn</t>
  </si>
  <si>
    <t>Ocelový plech na záda magnetu, ne mezi magnet a desku. 60 magnetů, 20 navíc.</t>
  </si>
  <si>
    <t>samolepka</t>
  </si>
  <si>
    <t>3M 468MP, Ø 8 mm</t>
  </si>
  <si>
    <t>Menší než kotouč, drží střed. 60 magnetů, 10 navíc.</t>
  </si>
  <si>
    <t>č.</t>
  </si>
  <si>
    <t>energie</t>
  </si>
  <si>
    <t>poznámka</t>
  </si>
  <si>
    <t>doporučená mez</t>
  </si>
  <si>
    <t>práh obsazeno</t>
  </si>
  <si>
    <t>šum desky</t>
  </si>
  <si>
    <t>verdikt</t>
  </si>
  <si>
    <t>poměr k předchozí</t>
  </si>
  <si>
    <t>nejmenší tenký</t>
  </si>
  <si>
    <t>dva nejtenčí</t>
  </si>
  <si>
    <t>o trochu větší, Ø 10×1</t>
  </si>
  <si>
    <t>nejtenčí a ten o trochu větší</t>
  </si>
  <si>
    <t>2× o trochu větší</t>
  </si>
  <si>
    <t>3× o trochu větší</t>
  </si>
  <si>
    <t>4× o trochu větší</t>
  </si>
  <si>
    <t>5× větších</t>
  </si>
  <si>
    <t>6× větších</t>
  </si>
  <si>
    <t>Řádky 1–9 jsou stohy malých kotoučů. Objednané jednotlivé kotouče jsou na listu Koupit.</t>
  </si>
  <si>
    <t>Rozsah Hall senzoru</t>
  </si>
  <si>
    <t>Veličina</t>
  </si>
  <si>
    <t>Co to znamená</t>
  </si>
  <si>
    <t>Minimum senzoru</t>
  </si>
  <si>
    <t>Prázdné pole po odečtení základny.</t>
  </si>
  <si>
    <t>Šum, který firmware ignoruje</t>
  </si>
  <si>
    <t>Deadband. Zhruba 1 mT na obou kanálech.</t>
  </si>
  <si>
    <t>Práh obsazeno</t>
  </si>
  <si>
    <t>Součet absolutních odchylek 270. Pod tím firmware pole nevidí.</t>
  </si>
  <si>
    <t>Doporučené minimum magnetu</t>
  </si>
  <si>
    <t>Dvojnásobek prahu obsazeno.</t>
  </si>
  <si>
    <t>Lineární strop DRV5055A1</t>
  </si>
  <si>
    <t>Oba kanály na ±21 mT. Dál senzor není lineární.</t>
  </si>
  <si>
    <t>Strop ADC</t>
  </si>
  <si>
    <t>Oba 12bit kanály na kraji rozsahu. Výš číslo nevznikne.</t>
  </si>
  <si>
    <t>Naměřený šum prázdného pole</t>
  </si>
  <si>
    <t>Volitelné. Jedno stisknutí bez magnetu.</t>
  </si>
  <si>
    <t>Mez použitá u magnetů</t>
  </si>
  <si>
    <t>150 000, dokud šum prázdného pole nepřekročí 50 000.</t>
  </si>
  <si>
    <t>Jak vznikla čísla</t>
  </si>
  <si>
    <t>Dva DRV5055A1 na poli. STM32 je čte 12bit ADC při 3,3 V. Energie je odchylka0² + odchylka1².</t>
  </si>
  <si>
    <t>A1 má při 3,3 V asi 66 mV/mT. 1 mT je zhruba 82 dílků ADC.</t>
  </si>
  <si>
    <t>Zemské pole a telefon jsou hluboko pod prahem obsazeno.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</si>
</sst>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3" fontId="2" fillId="2" borderId="1" xfId="0" applyNumberFormat="1" applyFont="1" applyFill="1" applyBorder="1" applyAlignment="1" applyProtection="1">
      <alignment horizontal="right" vertical="center"/>
      <protection locked="0"/>
    </xf>
    <xf numFmtId="2" fontId="2" fillId="2" borderId="1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/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" fontId="2" fillId="2" borderId="2" xfId="0" applyNumberFormat="1" applyFont="1" applyFill="1" applyBorder="1" applyAlignment="1" applyProtection="1">
      <alignment horizontal="center" vertical="center"/>
      <protection locked="0"/>
    </xf>
    <xf numFmtId="3" fontId="2" fillId="2" borderId="2" xfId="0" applyNumberFormat="1" applyFont="1" applyFill="1" applyBorder="1" applyAlignment="1" applyProtection="1">
      <alignment horizontal="right" vertical="center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2" fontId="2" fillId="2" borderId="2" xfId="0" applyNumberFormat="1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magnet.cz/neodymovy-magnet-kotouc-10-mm-v-3-mm-sila-1-8-kg_z113/" TargetMode="External"/><Relationship Id="rId2" Type="http://schemas.openxmlformats.org/officeDocument/2006/relationships/hyperlink" Target="https://www.unimagnet.cz/neodymovy-magnet-kotouc-10-mm-v-2-mm-sila-1-3-kg_z56/" TargetMode="External"/><Relationship Id="rId1" Type="http://schemas.openxmlformats.org/officeDocument/2006/relationships/hyperlink" Target="https://www.unimagnet.cz/neodymovy-magnet-kotouc-10-mm-v-1-mm-sila-500-g_z42/" TargetMode="External"/><Relationship Id="rId6" Type="http://schemas.openxmlformats.org/officeDocument/2006/relationships/hyperlink" Target="https://www.unimagnet.cz/neodymovy-magnet-kotouc-12-mm-v-6-mm-sila-4-5-kg_z45/" TargetMode="External"/><Relationship Id="rId5" Type="http://schemas.openxmlformats.org/officeDocument/2006/relationships/hyperlink" Target="https://www.unimagnet.cz/neodymovy-magnet-kotouc-10-mm-v-8-mm-sila-3-7-kg_z331/" TargetMode="External"/><Relationship Id="rId4" Type="http://schemas.openxmlformats.org/officeDocument/2006/relationships/hyperlink" Target="https://www.unimagnet.cz/neodymovy-magnet-kotouc-10-mm-v-5-mm-sila-2-7-kg_z2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showGridLines="0" tabSelected="1" zoomScale="110" workbookViewId="0">
      <pane ySplit="4" topLeftCell="A5" activePane="bottomLeft" state="frozen"/>
      <selection pane="bottomLeft" sqref="A1:L1"/>
    </sheetView>
  </sheetViews>
  <sheetFormatPr defaultRowHeight="15" x14ac:dyDescent="0.25"/>
  <cols>
    <col min="1" max="1" width="14" customWidth="1"/>
    <col min="2" max="2" width="22" customWidth="1"/>
    <col min="3" max="6" width="12" customWidth="1"/>
    <col min="7" max="7" width="16" customWidth="1"/>
    <col min="8" max="9" width="14" customWidth="1"/>
    <col min="10" max="10" width="12" customWidth="1"/>
    <col min="11" max="11" width="52" customWidth="1"/>
    <col min="12" max="12" width="62" customWidth="1"/>
  </cols>
  <sheetData>
    <row r="1" spans="1:12" ht="20.100000000000001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48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 ht="32.1" customHeight="1" x14ac:dyDescent="0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2" ht="36" customHeight="1" x14ac:dyDescent="0.25">
      <c r="A5" s="8" t="s">
        <v>14</v>
      </c>
      <c r="B5" s="8" t="s">
        <v>15</v>
      </c>
      <c r="C5" s="9" t="s">
        <v>16</v>
      </c>
      <c r="D5" s="10">
        <v>32</v>
      </c>
      <c r="E5" s="10">
        <v>16</v>
      </c>
      <c r="F5" s="9" t="s">
        <v>17</v>
      </c>
      <c r="G5" s="11">
        <v>103050</v>
      </c>
      <c r="H5" s="11"/>
      <c r="I5" s="9" t="s">
        <v>18</v>
      </c>
      <c r="J5" s="9" t="s">
        <v>19</v>
      </c>
      <c r="K5" s="8" t="s">
        <v>20</v>
      </c>
      <c r="L5" s="12" t="s">
        <v>21</v>
      </c>
    </row>
    <row r="6" spans="1:12" ht="36" customHeight="1" x14ac:dyDescent="0.25">
      <c r="A6" s="8" t="s">
        <v>22</v>
      </c>
      <c r="B6" s="8" t="s">
        <v>23</v>
      </c>
      <c r="C6" s="9" t="s">
        <v>24</v>
      </c>
      <c r="D6" s="10">
        <v>8</v>
      </c>
      <c r="E6" s="10">
        <v>4</v>
      </c>
      <c r="F6" s="9" t="s">
        <v>17</v>
      </c>
      <c r="G6" s="11">
        <v>324000</v>
      </c>
      <c r="H6" s="11"/>
      <c r="I6" s="13">
        <f>IF(OR(G6="",G5=""),"",IF(H6="",G6,H6)/IF(H5="",G5,H5))</f>
        <v>3.1441048034934496</v>
      </c>
      <c r="J6" s="9" t="s">
        <v>25</v>
      </c>
      <c r="K6" s="8" t="s">
        <v>26</v>
      </c>
      <c r="L6" s="12" t="s">
        <v>27</v>
      </c>
    </row>
    <row r="7" spans="1:12" ht="36" customHeight="1" x14ac:dyDescent="0.25">
      <c r="A7" s="8" t="s">
        <v>28</v>
      </c>
      <c r="B7" s="8" t="s">
        <v>29</v>
      </c>
      <c r="C7" s="9" t="s">
        <v>30</v>
      </c>
      <c r="D7" s="10">
        <v>8</v>
      </c>
      <c r="E7" s="10">
        <v>4</v>
      </c>
      <c r="F7" s="9" t="s">
        <v>17</v>
      </c>
      <c r="G7" s="11">
        <v>583000</v>
      </c>
      <c r="H7" s="11"/>
      <c r="I7" s="13">
        <f>IF(OR(G7="",G6=""),"",IF(H7="",G7,H7)/IF(H6="",G6,H6))</f>
        <v>1.7993827160493827</v>
      </c>
      <c r="J7" s="9" t="s">
        <v>25</v>
      </c>
      <c r="K7" s="8" t="s">
        <v>31</v>
      </c>
      <c r="L7" s="12" t="s">
        <v>32</v>
      </c>
    </row>
    <row r="8" spans="1:12" ht="36" customHeight="1" x14ac:dyDescent="0.25">
      <c r="A8" s="8" t="s">
        <v>33</v>
      </c>
      <c r="B8" s="8" t="s">
        <v>34</v>
      </c>
      <c r="C8" s="9" t="s">
        <v>35</v>
      </c>
      <c r="D8" s="10">
        <v>4</v>
      </c>
      <c r="E8" s="10">
        <v>4</v>
      </c>
      <c r="F8" s="9" t="s">
        <v>36</v>
      </c>
      <c r="G8" s="11">
        <v>929000</v>
      </c>
      <c r="H8" s="11"/>
      <c r="I8" s="13">
        <f>IF(OR(G8="",G7=""),"",IF(H8="",G8,H8)/IF(H7="",G7,H7))</f>
        <v>1.5934819897084047</v>
      </c>
      <c r="J8" s="9" t="s">
        <v>25</v>
      </c>
      <c r="K8" s="8" t="s">
        <v>37</v>
      </c>
      <c r="L8" s="12" t="s">
        <v>38</v>
      </c>
    </row>
    <row r="9" spans="1:12" ht="36" customHeight="1" x14ac:dyDescent="0.25">
      <c r="A9" s="8" t="s">
        <v>39</v>
      </c>
      <c r="B9" s="8" t="s">
        <v>40</v>
      </c>
      <c r="C9" s="9" t="s">
        <v>41</v>
      </c>
      <c r="D9" s="10">
        <v>4</v>
      </c>
      <c r="E9" s="10">
        <v>2</v>
      </c>
      <c r="F9" s="9" t="s">
        <v>17</v>
      </c>
      <c r="G9" s="11">
        <v>1685000</v>
      </c>
      <c r="H9" s="11"/>
      <c r="I9" s="13">
        <f>IF(OR(G9="",G8=""),"",IF(H9="",G9,H9)/IF(H8="",G8,H8))</f>
        <v>1.8137782561894511</v>
      </c>
      <c r="J9" s="9" t="s">
        <v>25</v>
      </c>
      <c r="K9" s="8" t="s">
        <v>42</v>
      </c>
      <c r="L9" s="12" t="s">
        <v>43</v>
      </c>
    </row>
    <row r="10" spans="1:12" ht="36" customHeight="1" x14ac:dyDescent="0.25">
      <c r="A10" s="8" t="s">
        <v>44</v>
      </c>
      <c r="B10" s="8" t="s">
        <v>45</v>
      </c>
      <c r="C10" s="9" t="s">
        <v>46</v>
      </c>
      <c r="D10" s="10">
        <v>4</v>
      </c>
      <c r="E10" s="10">
        <v>2</v>
      </c>
      <c r="F10" s="9" t="s">
        <v>17</v>
      </c>
      <c r="G10" s="11">
        <v>2098000</v>
      </c>
      <c r="H10" s="11"/>
      <c r="I10" s="13">
        <f>IF(OR(G10="",G9=""),"",IF(H10="",G10,H10)/IF(H9="",G9,H9))</f>
        <v>1.2451038575667657</v>
      </c>
      <c r="J10" s="9" t="s">
        <v>25</v>
      </c>
      <c r="K10" s="8" t="s">
        <v>47</v>
      </c>
      <c r="L10" s="12" t="s">
        <v>48</v>
      </c>
    </row>
    <row r="12" spans="1:12" ht="20.100000000000001" customHeight="1" x14ac:dyDescent="0.25">
      <c r="A12" s="16" t="s">
        <v>49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32.1" customHeight="1" x14ac:dyDescent="0.25">
      <c r="A13" s="8" t="s">
        <v>50</v>
      </c>
      <c r="B13" s="8" t="s">
        <v>51</v>
      </c>
      <c r="C13" s="8"/>
      <c r="D13" s="10">
        <v>80</v>
      </c>
      <c r="E13" s="8"/>
      <c r="F13" s="8"/>
      <c r="G13" s="8"/>
      <c r="H13" s="8"/>
      <c r="I13" s="8"/>
      <c r="J13" s="8"/>
      <c r="K13" s="8" t="s">
        <v>52</v>
      </c>
      <c r="L13" s="8"/>
    </row>
    <row r="14" spans="1:12" ht="32.1" customHeight="1" x14ac:dyDescent="0.25">
      <c r="A14" s="8" t="s">
        <v>53</v>
      </c>
      <c r="B14" s="8" t="s">
        <v>54</v>
      </c>
      <c r="C14" s="8"/>
      <c r="D14" s="10">
        <v>70</v>
      </c>
      <c r="E14" s="8"/>
      <c r="F14" s="8"/>
      <c r="G14" s="8"/>
      <c r="H14" s="8"/>
      <c r="I14" s="8"/>
      <c r="J14" s="8"/>
      <c r="K14" s="8" t="s">
        <v>55</v>
      </c>
      <c r="L14" s="8"/>
    </row>
  </sheetData>
  <mergeCells count="3">
    <mergeCell ref="A2:L2"/>
    <mergeCell ref="A1:L1"/>
    <mergeCell ref="A12:L12"/>
  </mergeCells>
  <hyperlinks>
    <hyperlink ref="L5" r:id="rId1" xr:uid="{00000000-0004-0000-0000-000000000000}"/>
    <hyperlink ref="L6" r:id="rId2" xr:uid="{00000000-0004-0000-0000-000001000000}"/>
    <hyperlink ref="L7" r:id="rId3" xr:uid="{00000000-0004-0000-0000-000002000000}"/>
    <hyperlink ref="L8" r:id="rId4" xr:uid="{00000000-0004-0000-0000-000003000000}"/>
    <hyperlink ref="L9" r:id="rId5" xr:uid="{00000000-0004-0000-0000-000004000000}"/>
    <hyperlink ref="L10" r:id="rId6" xr:uid="{00000000-0004-0000-0000-000005000000}"/>
  </hyperlinks>
  <pageMargins left="0.75" right="0.7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zoomScale="11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46" customWidth="1"/>
    <col min="4" max="4" width="18" customWidth="1"/>
    <col min="5" max="5" width="16" customWidth="1"/>
    <col min="6" max="7" width="14" customWidth="1"/>
    <col min="8" max="8" width="18" customWidth="1"/>
  </cols>
  <sheetData>
    <row r="1" spans="1:8" ht="32.1" customHeigh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ht="18" customHeight="1" x14ac:dyDescent="0.25">
      <c r="A2" s="3">
        <v>1</v>
      </c>
      <c r="B2" s="4">
        <v>28130</v>
      </c>
      <c r="C2" s="2" t="s">
        <v>64</v>
      </c>
      <c r="D2" s="4">
        <f>Limity!$B$12</f>
        <v>150000</v>
      </c>
      <c r="E2" s="4">
        <f>Limity!$B$6</f>
        <v>72900</v>
      </c>
      <c r="F2" s="4">
        <f>Limity!$B$5</f>
        <v>15000</v>
      </c>
      <c r="G2" s="3" t="str">
        <f>IF(B2="","",IF(B2&lt;Limity!$B$6,"pod prahem",IF(B2&lt;Limity!$B$7,"slabé","v rozsahu")))</f>
        <v>pod prahem</v>
      </c>
      <c r="H2" s="3" t="s">
        <v>18</v>
      </c>
    </row>
    <row r="3" spans="1:8" ht="18" customHeight="1" x14ac:dyDescent="0.25">
      <c r="A3" s="3">
        <v>2</v>
      </c>
      <c r="B3" s="4">
        <v>84458</v>
      </c>
      <c r="C3" s="2" t="s">
        <v>65</v>
      </c>
      <c r="D3" s="4">
        <f>Limity!$B$12</f>
        <v>150000</v>
      </c>
      <c r="E3" s="4">
        <f>Limity!$B$6</f>
        <v>72900</v>
      </c>
      <c r="F3" s="4">
        <f>Limity!$B$5</f>
        <v>15000</v>
      </c>
      <c r="G3" s="3" t="str">
        <f>IF(B3="","",IF(B3&lt;Limity!$B$6,"pod prahem",IF(B3&lt;Limity!$B$7,"slabé","v rozsahu")))</f>
        <v>slabé</v>
      </c>
      <c r="H3" s="5">
        <f t="shared" ref="H3:H10" si="0">IF(OR(B3="",B2=""),"",B3/B2)</f>
        <v>3.0024173480270173</v>
      </c>
    </row>
    <row r="4" spans="1:8" ht="18" customHeight="1" x14ac:dyDescent="0.25">
      <c r="A4" s="3">
        <v>3</v>
      </c>
      <c r="B4" s="4">
        <v>103050</v>
      </c>
      <c r="C4" s="2" t="s">
        <v>66</v>
      </c>
      <c r="D4" s="4">
        <f>Limity!$B$12</f>
        <v>150000</v>
      </c>
      <c r="E4" s="4">
        <f>Limity!$B$6</f>
        <v>72900</v>
      </c>
      <c r="F4" s="4">
        <f>Limity!$B$5</f>
        <v>15000</v>
      </c>
      <c r="G4" s="3" t="str">
        <f>IF(B4="","",IF(B4&lt;Limity!$B$6,"pod prahem",IF(B4&lt;Limity!$B$7,"slabé","v rozsahu")))</f>
        <v>slabé</v>
      </c>
      <c r="H4" s="5">
        <f t="shared" si="0"/>
        <v>1.2201330838996898</v>
      </c>
    </row>
    <row r="5" spans="1:8" ht="18" customHeight="1" x14ac:dyDescent="0.25">
      <c r="A5" s="3">
        <v>4</v>
      </c>
      <c r="B5" s="4">
        <v>215440</v>
      </c>
      <c r="C5" s="2" t="s">
        <v>67</v>
      </c>
      <c r="D5" s="4">
        <f>Limity!$B$12</f>
        <v>150000</v>
      </c>
      <c r="E5" s="4">
        <f>Limity!$B$6</f>
        <v>72900</v>
      </c>
      <c r="F5" s="4">
        <f>Limity!$B$5</f>
        <v>15000</v>
      </c>
      <c r="G5" s="3" t="str">
        <f>IF(B5="","",IF(B5&lt;Limity!$B$6,"pod prahem",IF(B5&lt;Limity!$B$7,"slabé","v rozsahu")))</f>
        <v>v rozsahu</v>
      </c>
      <c r="H5" s="5">
        <f t="shared" si="0"/>
        <v>2.0906356137797184</v>
      </c>
    </row>
    <row r="6" spans="1:8" ht="18" customHeight="1" x14ac:dyDescent="0.25">
      <c r="A6" s="3">
        <v>5</v>
      </c>
      <c r="B6" s="4">
        <v>341666</v>
      </c>
      <c r="C6" s="2" t="s">
        <v>68</v>
      </c>
      <c r="D6" s="4">
        <f>Limity!$B$12</f>
        <v>150000</v>
      </c>
      <c r="E6" s="4">
        <f>Limity!$B$6</f>
        <v>72900</v>
      </c>
      <c r="F6" s="4">
        <f>Limity!$B$5</f>
        <v>15000</v>
      </c>
      <c r="G6" s="3" t="str">
        <f>IF(B6="","",IF(B6&lt;Limity!$B$6,"pod prahem",IF(B6&lt;Limity!$B$7,"slabé","v rozsahu")))</f>
        <v>v rozsahu</v>
      </c>
      <c r="H6" s="5">
        <f t="shared" si="0"/>
        <v>1.5858986260675827</v>
      </c>
    </row>
    <row r="7" spans="1:8" ht="18" customHeight="1" x14ac:dyDescent="0.25">
      <c r="A7" s="3">
        <v>6</v>
      </c>
      <c r="B7" s="4">
        <v>748969</v>
      </c>
      <c r="C7" s="2" t="s">
        <v>69</v>
      </c>
      <c r="D7" s="4">
        <f>Limity!$B$12</f>
        <v>150000</v>
      </c>
      <c r="E7" s="4">
        <f>Limity!$B$6</f>
        <v>72900</v>
      </c>
      <c r="F7" s="4">
        <f>Limity!$B$5</f>
        <v>15000</v>
      </c>
      <c r="G7" s="3" t="str">
        <f>IF(B7="","",IF(B7&lt;Limity!$B$6,"pod prahem",IF(B7&lt;Limity!$B$7,"slabé","v rozsahu")))</f>
        <v>v rozsahu</v>
      </c>
      <c r="H7" s="5">
        <f t="shared" si="0"/>
        <v>2.1921086675291073</v>
      </c>
    </row>
    <row r="8" spans="1:8" ht="18" customHeight="1" x14ac:dyDescent="0.25">
      <c r="A8" s="3">
        <v>7</v>
      </c>
      <c r="B8" s="4">
        <v>1181200</v>
      </c>
      <c r="C8" s="2" t="s">
        <v>70</v>
      </c>
      <c r="D8" s="4">
        <f>Limity!$B$12</f>
        <v>150000</v>
      </c>
      <c r="E8" s="4">
        <f>Limity!$B$6</f>
        <v>72900</v>
      </c>
      <c r="F8" s="4">
        <f>Limity!$B$5</f>
        <v>15000</v>
      </c>
      <c r="G8" s="3" t="str">
        <f>IF(B8="","",IF(B8&lt;Limity!$B$6,"pod prahem",IF(B8&lt;Limity!$B$7,"slabé","v rozsahu")))</f>
        <v>v rozsahu</v>
      </c>
      <c r="H8" s="5">
        <f t="shared" si="0"/>
        <v>1.5771013219505747</v>
      </c>
    </row>
    <row r="9" spans="1:8" ht="18" customHeight="1" x14ac:dyDescent="0.25">
      <c r="A9" s="3">
        <v>8</v>
      </c>
      <c r="B9" s="4">
        <v>1666645</v>
      </c>
      <c r="C9" s="2" t="s">
        <v>71</v>
      </c>
      <c r="D9" s="4">
        <f>Limity!$B$12</f>
        <v>150000</v>
      </c>
      <c r="E9" s="4">
        <f>Limity!$B$6</f>
        <v>72900</v>
      </c>
      <c r="F9" s="4">
        <f>Limity!$B$5</f>
        <v>15000</v>
      </c>
      <c r="G9" s="3" t="str">
        <f>IF(B9="","",IF(B9&lt;Limity!$B$6,"pod prahem",IF(B9&lt;Limity!$B$7,"slabé","v rozsahu")))</f>
        <v>v rozsahu</v>
      </c>
      <c r="H9" s="5">
        <f t="shared" si="0"/>
        <v>1.4109761259735862</v>
      </c>
    </row>
    <row r="10" spans="1:8" ht="18" customHeight="1" x14ac:dyDescent="0.25">
      <c r="A10" s="3">
        <v>9</v>
      </c>
      <c r="B10" s="4">
        <v>2096288</v>
      </c>
      <c r="C10" s="2" t="s">
        <v>72</v>
      </c>
      <c r="D10" s="4">
        <f>Limity!$B$12</f>
        <v>150000</v>
      </c>
      <c r="E10" s="4">
        <f>Limity!$B$6</f>
        <v>72900</v>
      </c>
      <c r="F10" s="4">
        <f>Limity!$B$5</f>
        <v>15000</v>
      </c>
      <c r="G10" s="3" t="str">
        <f>IF(B10="","",IF(B10&lt;Limity!$B$6,"pod prahem",IF(B10&lt;Limity!$B$7,"slabé","v rozsahu")))</f>
        <v>v rozsahu</v>
      </c>
      <c r="H10" s="5">
        <f t="shared" si="0"/>
        <v>1.2577891512589663</v>
      </c>
    </row>
    <row r="11" spans="1:8" x14ac:dyDescent="0.25">
      <c r="A11" s="3">
        <v>9</v>
      </c>
      <c r="B11" s="4"/>
      <c r="C11" s="2"/>
      <c r="D11" s="4">
        <f>Limity!$B$12</f>
        <v>150000</v>
      </c>
      <c r="E11" s="4">
        <f>Limity!$B$6</f>
        <v>72900</v>
      </c>
      <c r="F11" s="4">
        <f>Limity!$B$5</f>
        <v>15000</v>
      </c>
      <c r="G11" s="3"/>
      <c r="H11" s="3"/>
    </row>
    <row r="12" spans="1:8" x14ac:dyDescent="0.25">
      <c r="A12" s="3">
        <v>10</v>
      </c>
      <c r="B12" s="4"/>
      <c r="C12" s="2"/>
      <c r="D12" s="4">
        <f>Limity!$B$12</f>
        <v>150000</v>
      </c>
      <c r="E12" s="4">
        <f>Limity!$B$6</f>
        <v>72900</v>
      </c>
      <c r="F12" s="4">
        <f>Limity!$B$5</f>
        <v>15000</v>
      </c>
      <c r="G12" s="3"/>
      <c r="H12" s="3"/>
    </row>
    <row r="13" spans="1:8" x14ac:dyDescent="0.25">
      <c r="A13" s="3">
        <v>11</v>
      </c>
      <c r="B13" s="4"/>
      <c r="C13" s="2"/>
      <c r="D13" s="4">
        <f>Limity!$B$12</f>
        <v>150000</v>
      </c>
      <c r="E13" s="4">
        <f>Limity!$B$6</f>
        <v>72900</v>
      </c>
      <c r="F13" s="4">
        <f>Limity!$B$5</f>
        <v>15000</v>
      </c>
      <c r="G13" s="3"/>
      <c r="H13" s="3"/>
    </row>
    <row r="14" spans="1:8" x14ac:dyDescent="0.25">
      <c r="A14" s="3">
        <v>12</v>
      </c>
      <c r="B14" s="4"/>
      <c r="C14" s="2"/>
      <c r="D14" s="4">
        <f>Limity!$B$12</f>
        <v>150000</v>
      </c>
      <c r="E14" s="4">
        <f>Limity!$B$6</f>
        <v>72900</v>
      </c>
      <c r="F14" s="4">
        <f>Limity!$B$5</f>
        <v>15000</v>
      </c>
      <c r="G14" s="3"/>
      <c r="H14" s="3"/>
    </row>
    <row r="15" spans="1:8" x14ac:dyDescent="0.25">
      <c r="A15" s="3">
        <v>13</v>
      </c>
      <c r="B15" s="4"/>
      <c r="C15" s="2"/>
      <c r="D15" s="4">
        <f>Limity!$B$12</f>
        <v>150000</v>
      </c>
      <c r="E15" s="4">
        <f>Limity!$B$6</f>
        <v>72900</v>
      </c>
      <c r="F15" s="4">
        <f>Limity!$B$5</f>
        <v>15000</v>
      </c>
      <c r="G15" s="3"/>
      <c r="H15" s="3"/>
    </row>
    <row r="16" spans="1:8" x14ac:dyDescent="0.25">
      <c r="A16" s="3">
        <v>14</v>
      </c>
      <c r="B16" s="4"/>
      <c r="C16" s="2"/>
      <c r="D16" s="4">
        <f>Limity!$B$12</f>
        <v>150000</v>
      </c>
      <c r="E16" s="4">
        <f>Limity!$B$6</f>
        <v>72900</v>
      </c>
      <c r="F16" s="4">
        <f>Limity!$B$5</f>
        <v>15000</v>
      </c>
      <c r="G16" s="3"/>
      <c r="H16" s="3"/>
    </row>
    <row r="17" spans="1:8" x14ac:dyDescent="0.25">
      <c r="A17" s="3">
        <v>15</v>
      </c>
      <c r="B17" s="4"/>
      <c r="C17" s="2"/>
      <c r="D17" s="4">
        <f>Limity!$B$12</f>
        <v>150000</v>
      </c>
      <c r="E17" s="4">
        <f>Limity!$B$6</f>
        <v>72900</v>
      </c>
      <c r="F17" s="4">
        <f>Limity!$B$5</f>
        <v>15000</v>
      </c>
      <c r="G17" s="3"/>
      <c r="H17" s="3"/>
    </row>
    <row r="18" spans="1:8" x14ac:dyDescent="0.25">
      <c r="A18" s="3">
        <v>16</v>
      </c>
      <c r="B18" s="4"/>
      <c r="C18" s="2"/>
      <c r="D18" s="4">
        <f>Limity!$B$12</f>
        <v>150000</v>
      </c>
      <c r="E18" s="4">
        <f>Limity!$B$6</f>
        <v>72900</v>
      </c>
      <c r="F18" s="4">
        <f>Limity!$B$5</f>
        <v>15000</v>
      </c>
      <c r="G18" s="3"/>
      <c r="H18" s="3"/>
    </row>
    <row r="19" spans="1:8" x14ac:dyDescent="0.25">
      <c r="A19" s="3">
        <v>17</v>
      </c>
      <c r="B19" s="4"/>
      <c r="C19" s="2"/>
      <c r="D19" s="4">
        <f>Limity!$B$12</f>
        <v>150000</v>
      </c>
      <c r="E19" s="4">
        <f>Limity!$B$6</f>
        <v>72900</v>
      </c>
      <c r="F19" s="4">
        <f>Limity!$B$5</f>
        <v>15000</v>
      </c>
      <c r="G19" s="3"/>
      <c r="H19" s="3"/>
    </row>
    <row r="20" spans="1:8" x14ac:dyDescent="0.25">
      <c r="A20" s="3">
        <v>18</v>
      </c>
      <c r="B20" s="4"/>
      <c r="C20" s="2"/>
      <c r="D20" s="4">
        <f>Limity!$B$12</f>
        <v>150000</v>
      </c>
      <c r="E20" s="4">
        <f>Limity!$B$6</f>
        <v>72900</v>
      </c>
      <c r="F20" s="4">
        <f>Limity!$B$5</f>
        <v>15000</v>
      </c>
      <c r="G20" s="3"/>
      <c r="H20" s="3"/>
    </row>
    <row r="21" spans="1:8" x14ac:dyDescent="0.25">
      <c r="A21" s="3">
        <v>19</v>
      </c>
      <c r="B21" s="4"/>
      <c r="C21" s="2"/>
      <c r="D21" s="4">
        <f>Limity!$B$12</f>
        <v>150000</v>
      </c>
      <c r="E21" s="4">
        <f>Limity!$B$6</f>
        <v>72900</v>
      </c>
      <c r="F21" s="4">
        <f>Limity!$B$5</f>
        <v>15000</v>
      </c>
      <c r="G21" s="3"/>
      <c r="H21" s="3"/>
    </row>
    <row r="22" spans="1:8" x14ac:dyDescent="0.25">
      <c r="A22" s="3">
        <v>20</v>
      </c>
      <c r="B22" s="4"/>
      <c r="C22" s="2"/>
      <c r="D22" s="4">
        <f>Limity!$B$12</f>
        <v>150000</v>
      </c>
      <c r="E22" s="4">
        <f>Limity!$B$6</f>
        <v>72900</v>
      </c>
      <c r="F22" s="4">
        <f>Limity!$B$5</f>
        <v>15000</v>
      </c>
      <c r="G22" s="3"/>
      <c r="H22" s="3"/>
    </row>
    <row r="23" spans="1:8" x14ac:dyDescent="0.25">
      <c r="A23" s="3">
        <v>21</v>
      </c>
      <c r="B23" s="4"/>
      <c r="C23" s="2"/>
      <c r="D23" s="4">
        <f>Limity!$B$12</f>
        <v>150000</v>
      </c>
      <c r="E23" s="4">
        <f>Limity!$B$6</f>
        <v>72900</v>
      </c>
      <c r="F23" s="4">
        <f>Limity!$B$5</f>
        <v>15000</v>
      </c>
      <c r="G23" s="3"/>
      <c r="H23" s="3"/>
    </row>
    <row r="24" spans="1:8" x14ac:dyDescent="0.25">
      <c r="A24" s="3">
        <v>22</v>
      </c>
      <c r="B24" s="4"/>
      <c r="C24" s="2"/>
      <c r="D24" s="4">
        <f>Limity!$B$12</f>
        <v>150000</v>
      </c>
      <c r="E24" s="4">
        <f>Limity!$B$6</f>
        <v>72900</v>
      </c>
      <c r="F24" s="4">
        <f>Limity!$B$5</f>
        <v>15000</v>
      </c>
      <c r="G24" s="3"/>
      <c r="H24" s="3"/>
    </row>
    <row r="25" spans="1:8" x14ac:dyDescent="0.25">
      <c r="A25" s="3">
        <v>23</v>
      </c>
      <c r="B25" s="4"/>
      <c r="C25" s="2"/>
      <c r="D25" s="4">
        <f>Limity!$B$12</f>
        <v>150000</v>
      </c>
      <c r="E25" s="4">
        <f>Limity!$B$6</f>
        <v>72900</v>
      </c>
      <c r="F25" s="4">
        <f>Limity!$B$5</f>
        <v>15000</v>
      </c>
      <c r="G25" s="3"/>
      <c r="H25" s="3"/>
    </row>
    <row r="26" spans="1:8" x14ac:dyDescent="0.25">
      <c r="A26" s="3">
        <v>24</v>
      </c>
      <c r="B26" s="4"/>
      <c r="C26" s="2"/>
      <c r="D26" s="4">
        <f>Limity!$B$12</f>
        <v>150000</v>
      </c>
      <c r="E26" s="4">
        <f>Limity!$B$6</f>
        <v>72900</v>
      </c>
      <c r="F26" s="4">
        <f>Limity!$B$5</f>
        <v>15000</v>
      </c>
      <c r="G26" s="3"/>
      <c r="H26" s="3"/>
    </row>
    <row r="27" spans="1:8" x14ac:dyDescent="0.25">
      <c r="A27" s="3">
        <v>25</v>
      </c>
      <c r="B27" s="4"/>
      <c r="C27" s="2"/>
      <c r="D27" s="4">
        <f>Limity!$B$12</f>
        <v>150000</v>
      </c>
      <c r="E27" s="4">
        <f>Limity!$B$6</f>
        <v>72900</v>
      </c>
      <c r="F27" s="4">
        <f>Limity!$B$5</f>
        <v>15000</v>
      </c>
      <c r="G27" s="3"/>
      <c r="H27" s="3"/>
    </row>
    <row r="28" spans="1:8" x14ac:dyDescent="0.25">
      <c r="A28" s="3">
        <v>26</v>
      </c>
      <c r="B28" s="4"/>
      <c r="C28" s="2"/>
      <c r="D28" s="4">
        <f>Limity!$B$12</f>
        <v>150000</v>
      </c>
      <c r="E28" s="4">
        <f>Limity!$B$6</f>
        <v>72900</v>
      </c>
      <c r="F28" s="4">
        <f>Limity!$B$5</f>
        <v>15000</v>
      </c>
      <c r="G28" s="3"/>
      <c r="H28" s="3"/>
    </row>
    <row r="29" spans="1:8" x14ac:dyDescent="0.25">
      <c r="A29" s="3">
        <v>27</v>
      </c>
      <c r="B29" s="4"/>
      <c r="C29" s="2"/>
      <c r="D29" s="4">
        <f>Limity!$B$12</f>
        <v>150000</v>
      </c>
      <c r="E29" s="4">
        <f>Limity!$B$6</f>
        <v>72900</v>
      </c>
      <c r="F29" s="4">
        <f>Limity!$B$5</f>
        <v>15000</v>
      </c>
      <c r="G29" s="3"/>
      <c r="H29" s="3"/>
    </row>
    <row r="30" spans="1:8" x14ac:dyDescent="0.25">
      <c r="A30" s="3">
        <v>28</v>
      </c>
      <c r="B30" s="4"/>
      <c r="C30" s="2"/>
      <c r="D30" s="4">
        <f>Limity!$B$12</f>
        <v>150000</v>
      </c>
      <c r="E30" s="4">
        <f>Limity!$B$6</f>
        <v>72900</v>
      </c>
      <c r="F30" s="4">
        <f>Limity!$B$5</f>
        <v>15000</v>
      </c>
      <c r="G30" s="3"/>
      <c r="H30" s="3"/>
    </row>
    <row r="31" spans="1:8" x14ac:dyDescent="0.25">
      <c r="A31" s="3">
        <v>29</v>
      </c>
      <c r="B31" s="4"/>
      <c r="C31" s="2"/>
      <c r="D31" s="4">
        <f>Limity!$B$12</f>
        <v>150000</v>
      </c>
      <c r="E31" s="4">
        <f>Limity!$B$6</f>
        <v>72900</v>
      </c>
      <c r="F31" s="4">
        <f>Limity!$B$5</f>
        <v>15000</v>
      </c>
      <c r="G31" s="3"/>
      <c r="H31" s="3"/>
    </row>
    <row r="33" spans="1:8" ht="32.1" customHeight="1" x14ac:dyDescent="0.25">
      <c r="A33" s="14" t="s">
        <v>73</v>
      </c>
      <c r="B33" s="15"/>
      <c r="C33" s="15"/>
      <c r="D33" s="15"/>
      <c r="E33" s="15"/>
      <c r="F33" s="15"/>
      <c r="G33" s="15"/>
      <c r="H33" s="15"/>
    </row>
  </sheetData>
  <mergeCells count="1">
    <mergeCell ref="A33:H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zoomScale="110" workbookViewId="0"/>
  </sheetViews>
  <sheetFormatPr defaultRowHeight="15" x14ac:dyDescent="0.25"/>
  <cols>
    <col min="1" max="1" width="36" customWidth="1"/>
    <col min="2" max="2" width="14" customWidth="1"/>
    <col min="3" max="3" width="88" customWidth="1"/>
  </cols>
  <sheetData>
    <row r="1" spans="1:3" x14ac:dyDescent="0.25">
      <c r="A1" s="17" t="s">
        <v>74</v>
      </c>
      <c r="B1" s="15"/>
      <c r="C1" s="15"/>
    </row>
    <row r="3" spans="1:3" ht="32.1" customHeight="1" x14ac:dyDescent="0.25">
      <c r="A3" s="1" t="s">
        <v>75</v>
      </c>
      <c r="B3" s="1" t="s">
        <v>8</v>
      </c>
      <c r="C3" s="1" t="s">
        <v>76</v>
      </c>
    </row>
    <row r="4" spans="1:3" ht="32.1" customHeight="1" x14ac:dyDescent="0.25">
      <c r="A4" s="2" t="s">
        <v>77</v>
      </c>
      <c r="B4" s="4">
        <v>0</v>
      </c>
      <c r="C4" s="2" t="s">
        <v>78</v>
      </c>
    </row>
    <row r="5" spans="1:3" ht="32.1" customHeight="1" x14ac:dyDescent="0.25">
      <c r="A5" s="2" t="s">
        <v>79</v>
      </c>
      <c r="B5" s="4">
        <v>15000</v>
      </c>
      <c r="C5" s="2" t="s">
        <v>80</v>
      </c>
    </row>
    <row r="6" spans="1:3" ht="32.1" customHeight="1" x14ac:dyDescent="0.25">
      <c r="A6" s="2" t="s">
        <v>81</v>
      </c>
      <c r="B6" s="4">
        <v>72900</v>
      </c>
      <c r="C6" s="2" t="s">
        <v>82</v>
      </c>
    </row>
    <row r="7" spans="1:3" ht="32.1" customHeight="1" x14ac:dyDescent="0.25">
      <c r="A7" s="2" t="s">
        <v>83</v>
      </c>
      <c r="B7" s="4">
        <v>150000</v>
      </c>
      <c r="C7" s="2" t="s">
        <v>84</v>
      </c>
    </row>
    <row r="8" spans="1:3" ht="32.1" customHeight="1" x14ac:dyDescent="0.25">
      <c r="A8" s="2" t="s">
        <v>85</v>
      </c>
      <c r="B8" s="4">
        <v>5916800</v>
      </c>
      <c r="C8" s="2" t="s">
        <v>86</v>
      </c>
    </row>
    <row r="9" spans="1:3" ht="32.1" customHeight="1" x14ac:dyDescent="0.25">
      <c r="A9" s="2" t="s">
        <v>87</v>
      </c>
      <c r="B9" s="4">
        <v>8388608</v>
      </c>
      <c r="C9" s="2" t="s">
        <v>88</v>
      </c>
    </row>
    <row r="11" spans="1:3" ht="21.95" customHeight="1" x14ac:dyDescent="0.25">
      <c r="A11" s="2" t="s">
        <v>89</v>
      </c>
      <c r="B11" s="4"/>
      <c r="C11" s="2" t="s">
        <v>90</v>
      </c>
    </row>
    <row r="12" spans="1:3" ht="21.95" customHeight="1" x14ac:dyDescent="0.25">
      <c r="A12" s="2" t="s">
        <v>91</v>
      </c>
      <c r="B12" s="4">
        <f>MAX(B7,IF(B11="",B7,B11*3))</f>
        <v>150000</v>
      </c>
      <c r="C12" s="2" t="s">
        <v>92</v>
      </c>
    </row>
    <row r="14" spans="1:3" x14ac:dyDescent="0.25">
      <c r="A14" s="6" t="s">
        <v>93</v>
      </c>
    </row>
    <row r="15" spans="1:3" ht="21.95" customHeight="1" x14ac:dyDescent="0.25">
      <c r="A15" s="14" t="s">
        <v>94</v>
      </c>
      <c r="B15" s="15"/>
      <c r="C15" s="15"/>
    </row>
    <row r="16" spans="1:3" ht="21.95" customHeight="1" x14ac:dyDescent="0.25">
      <c r="A16" s="14" t="s">
        <v>95</v>
      </c>
      <c r="B16" s="15"/>
      <c r="C16" s="15"/>
    </row>
    <row r="17" spans="1:3" ht="21.95" customHeight="1" x14ac:dyDescent="0.25">
      <c r="A17" s="14" t="s">
        <v>96</v>
      </c>
      <c r="B17" s="15"/>
      <c r="C17" s="15"/>
    </row>
  </sheetData>
  <mergeCells count="4">
    <mergeCell ref="A1:C1"/>
    <mergeCell ref="A16:C16"/>
    <mergeCell ref="A17:C17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Koupit</vt:lpstr>
      <vt:lpstr>Měření</vt:lpstr>
      <vt:lpstr>Limity</vt:lpstr>
      <vt:lpstr>Koupit!Print_Area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Krutina Alfréd</cp:lastModifiedBy>
  <dcterms:created xsi:type="dcterms:W3CDTF">2026-10-18T15:59:30Z</dcterms:created>
  <dcterms:modified xsi:type="dcterms:W3CDTF">2026-10-18T17:12:00Z</dcterms:modified>
</cp:coreProperties>
</file>