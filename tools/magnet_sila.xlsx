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Programming\Git\chess_esp32_c6_devkit\tools\"/>
    </mc:Choice>
  </mc:AlternateContent>
  <xr:revisionPtr revIDLastSave="0" documentId="13_ncr:1_{00FA2599-05E1-43F9-9C86-36B62CC1BF6E}" xr6:coauthVersionLast="47" xr6:coauthVersionMax="47" xr10:uidLastSave="{00000000-0000-0000-0000-000000000000}"/>
  <bookViews>
    <workbookView xWindow="-120" yWindow="-120" windowWidth="38640" windowHeight="21120" xr2:uid="{00000000-000D-0000-FFFF-FFFF00000000}"/>
  </bookViews>
  <sheets>
    <sheet name="Měření" sheetId="1" r:id="rId1"/>
    <sheet name="Limity" sheetId="2" r:id="rId2"/>
  </sheets>
  <definedNames>
    <definedName name="_xlnm._FilterDatabase" localSheetId="0" hidden="1">Měření!$A$1:$C$31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2" l="1"/>
  <c r="F31" i="1"/>
  <c r="E31" i="1"/>
  <c r="F30" i="1"/>
  <c r="E30" i="1"/>
  <c r="F29" i="1"/>
  <c r="E29" i="1"/>
  <c r="F28" i="1"/>
  <c r="E28" i="1"/>
  <c r="F27" i="1"/>
  <c r="E27" i="1"/>
  <c r="F26" i="1"/>
  <c r="E26" i="1"/>
  <c r="F25" i="1"/>
  <c r="E25" i="1"/>
  <c r="F24" i="1"/>
  <c r="E24" i="1"/>
  <c r="F23" i="1"/>
  <c r="E23" i="1"/>
  <c r="F22" i="1"/>
  <c r="E22" i="1"/>
  <c r="F21" i="1"/>
  <c r="E21" i="1"/>
  <c r="F20" i="1"/>
  <c r="E20" i="1"/>
  <c r="F19" i="1"/>
  <c r="E19" i="1"/>
  <c r="F18" i="1"/>
  <c r="E18" i="1"/>
  <c r="F17" i="1"/>
  <c r="E17" i="1"/>
  <c r="F16" i="1"/>
  <c r="E16" i="1"/>
  <c r="F15" i="1"/>
  <c r="E15" i="1"/>
  <c r="F14" i="1"/>
  <c r="E14" i="1"/>
  <c r="F13" i="1"/>
  <c r="E13" i="1"/>
  <c r="F12" i="1"/>
  <c r="E12" i="1"/>
  <c r="F11" i="1"/>
  <c r="E11" i="1"/>
  <c r="F10" i="1"/>
  <c r="E10" i="1"/>
  <c r="F9" i="1"/>
  <c r="E9" i="1"/>
  <c r="F8" i="1"/>
  <c r="E8" i="1"/>
  <c r="F7" i="1"/>
  <c r="E7" i="1"/>
  <c r="F6" i="1"/>
  <c r="E6" i="1"/>
  <c r="F5" i="1"/>
  <c r="E5" i="1"/>
  <c r="F4" i="1"/>
  <c r="E4" i="1"/>
  <c r="F3" i="1"/>
  <c r="E3" i="1"/>
  <c r="F2" i="1"/>
  <c r="E2" i="1"/>
  <c r="D31" i="1" l="1"/>
  <c r="D27" i="1"/>
  <c r="D26" i="1"/>
  <c r="D30" i="1"/>
  <c r="D29" i="1"/>
  <c r="D25" i="1"/>
  <c r="D4" i="1"/>
  <c r="D28" i="1"/>
  <c r="D10" i="1"/>
  <c r="D8" i="1"/>
  <c r="D6" i="1"/>
  <c r="D24" i="1"/>
  <c r="D2" i="1"/>
  <c r="D23" i="1"/>
  <c r="D12" i="1"/>
  <c r="D7" i="1"/>
  <c r="D5" i="1"/>
  <c r="D22" i="1"/>
  <c r="D21" i="1"/>
  <c r="D20" i="1"/>
  <c r="D17" i="1"/>
  <c r="D15" i="1"/>
  <c r="D13" i="1"/>
  <c r="D14" i="1"/>
  <c r="D19" i="1"/>
  <c r="D18" i="1"/>
  <c r="D9" i="1"/>
  <c r="D3" i="1"/>
  <c r="D16" i="1"/>
  <c r="D11" i="1"/>
</calcChain>
</file>

<file path=xl/sharedStrings.xml><?xml version="1.0" encoding="utf-8"?>
<sst xmlns="http://schemas.openxmlformats.org/spreadsheetml/2006/main" count="42" uniqueCount="42">
  <si>
    <t>č.</t>
  </si>
  <si>
    <t>energie</t>
  </si>
  <si>
    <t>poznámka</t>
  </si>
  <si>
    <t>doporučená mez</t>
  </si>
  <si>
    <t>práh obsazeno</t>
  </si>
  <si>
    <t>šum desky</t>
  </si>
  <si>
    <t>Do žlutého sloupce vlož čísla z terminálu v pořadí, jak je tiskne tlačítko. Prázdný řádek nech prázdný, když magnetů bude míň než 30.</t>
  </si>
  <si>
    <t>Rozsah Hall senzoru a mez pro magnet</t>
  </si>
  <si>
    <t>Veličina</t>
  </si>
  <si>
    <t>Energie</t>
  </si>
  <si>
    <t>Co to znamená</t>
  </si>
  <si>
    <t>Minimum senzoru</t>
  </si>
  <si>
    <t>Prázdné pole po odečtení základny. Níž energie nejde.</t>
  </si>
  <si>
    <t>Šum, který firmware ignoruje</t>
  </si>
  <si>
    <t>Deadband. Zhruba 1 mT na obou kanálech, nebo klid desky.</t>
  </si>
  <si>
    <t>Práh „obsazeno“</t>
  </si>
  <si>
    <t>Součet |odchylek| = 270, celá odchylka na jednom senzoru (270²). Pod tím firmware pole nevidí.</t>
  </si>
  <si>
    <t>Doporučené minimum magnetu</t>
  </si>
  <si>
    <t>Dvojnásobek prahu obsazeno. Park (zemské pole, klíče, telefon dál od desky) je hluboko pod tím.</t>
  </si>
  <si>
    <t>Lineární strop DRV5055A1</t>
  </si>
  <si>
    <t>Oba kanály na ±21 mT. Dál už senzor není lineární.</t>
  </si>
  <si>
    <t>Strop ADC</t>
  </si>
  <si>
    <t>Oba 12bit kanály na kraji rozsahu (2 × 2048²). Výš firmware číslo nevyrobí.</t>
  </si>
  <si>
    <t>Naměřený šum prázdného pole</t>
  </si>
  <si>
    <t>Volitelné. Jedno stisknutí bez magnetu. Když je větší než 50 000, mez v grafu se zvedne na trojnásobek.</t>
  </si>
  <si>
    <t>Mez použitá v grafu magnetů</t>
  </si>
  <si>
    <t>150 000, dokud šum prázdného pole nepřekročí 50 000.</t>
  </si>
  <si>
    <t>Jak vznikla čísla</t>
  </si>
  <si>
    <t>Na každém poli jsou dva DRV5055A1. STM32 je čte 12bit ADC při 3,3 V. Firmware odečte prázdnou základnu a tiskne energii = odchylka0² + odchylka1².</t>
  </si>
  <si>
    <t>A1 má při 5 V citlivost 100 mV/mT, při 3,3 V tedy 66 mV/mT. Jeden dílek ADC je asi 0,82 mV, takže 1 mT je zhruba 82 dílků.</t>
  </si>
  <si>
    <t>Zemské pole v parku je asi 0,05 mT, po základně pár dílků a energie v desítkách. Telefon nebo klíče až u senzoru umí kolem 1 mT (energie zhruba 7–13 tisíc). To ještě neprojde prahem obsazeno.</t>
  </si>
  <si>
    <t>Skutečná podlaha je šum desky. Firmware pustí pole až když součet absolutních odchylek dosáhne 270. Nejhůř (jeden senzor) je to energie 72 900. Doporučených 150 000 je dvojnásobek, aby magnet zůstal vidět i když se šum a cizí pole sečtou.</t>
  </si>
  <si>
    <t>Nejmenší magnet, který dává smysl, je ten, jehož číslo z terminálu je nad oranžovou mezí. Cokoli mezi šedou a oranžovou deska občas uvidí a občas ne. Pod šedou to jako figuru nevezme.</t>
  </si>
  <si>
    <t>nejmensi tenky</t>
  </si>
  <si>
    <t>nejtenci a ten o trochu vetsi - ne moc</t>
  </si>
  <si>
    <t>o trochu vetsi</t>
  </si>
  <si>
    <t>dva nejtenci</t>
  </si>
  <si>
    <t>2 trochu vetsi</t>
  </si>
  <si>
    <t>3 trochu vetsi</t>
  </si>
  <si>
    <t>4 trochu vetsi</t>
  </si>
  <si>
    <t>nejvetsi</t>
  </si>
  <si>
    <t>druhy nejvetsi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</si>
</sst>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4"/>
      <color rgb="FF1F4E79"/>
      <name val="Calibri"/>
    </font>
    <font>
      <b/>
      <sz val="11"/>
      <color rgb="FFFFFFFF"/>
      <name val="Calibri"/>
    </font>
    <font>
      <b/>
      <sz val="11"/>
      <name val="Calibri"/>
    </font>
    <font>
      <sz val="10"/>
      <color rgb="FF595959"/>
      <name val="Calibri"/>
    </font>
  </fonts>
  <fills count="4">
    <fill>
      <patternFill patternType="none"/>
    </fill>
    <fill>
      <patternFill patternType="gray125"/>
    </fill>
    <fill>
      <patternFill patternType="solid">
        <fgColor rgb="FF1F4E79"/>
      </patternFill>
    </fill>
    <fill>
      <patternFill patternType="solid">
        <fgColor rgb="FFFFF2CC"/>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7">
    <xf numFmtId="0" fontId="0" fillId="0" borderId="0" xfId="0"/>
    <xf numFmtId="0" fontId="2" fillId="2" borderId="0" xfId="0" applyFont="1" applyFill="1" applyAlignment="1">
      <alignment horizontal="center"/>
    </xf>
    <xf numFmtId="0" fontId="0" fillId="0" borderId="1" xfId="0" applyBorder="1" applyAlignment="1">
      <alignment horizontal="center"/>
    </xf>
    <xf numFmtId="3" fontId="0" fillId="3" borderId="1" xfId="0" applyNumberFormat="1" applyFill="1" applyBorder="1"/>
    <xf numFmtId="0" fontId="0" fillId="0" borderId="1" xfId="0" applyBorder="1"/>
    <xf numFmtId="3" fontId="0" fillId="0" borderId="1" xfId="0" applyNumberFormat="1" applyBorder="1"/>
    <xf numFmtId="0" fontId="2" fillId="2" borderId="0" xfId="0" applyFont="1" applyFill="1"/>
    <xf numFmtId="0" fontId="0" fillId="0" borderId="1" xfId="0" applyBorder="1" applyAlignment="1">
      <alignment vertical="center" wrapText="1"/>
    </xf>
    <xf numFmtId="3" fontId="0" fillId="0" borderId="1" xfId="0" applyNumberFormat="1" applyBorder="1" applyAlignment="1">
      <alignment vertical="center" wrapText="1"/>
    </xf>
    <xf numFmtId="3" fontId="0" fillId="3" borderId="1" xfId="0" applyNumberFormat="1" applyFill="1" applyBorder="1" applyAlignment="1">
      <alignment vertical="center" wrapText="1"/>
    </xf>
    <xf numFmtId="3" fontId="3" fillId="0" borderId="1" xfId="0" applyNumberFormat="1" applyFont="1" applyBorder="1"/>
    <xf numFmtId="0" fontId="3" fillId="0" borderId="0" xfId="0" applyFont="1"/>
    <xf numFmtId="0" fontId="4" fillId="0" borderId="0" xfId="0" applyFont="1" applyAlignment="1">
      <alignment wrapText="1"/>
    </xf>
    <xf numFmtId="0" fontId="0" fillId="0" borderId="0" xfId="0"/>
    <xf numFmtId="0" fontId="4" fillId="0" borderId="0" xfId="0" applyFont="1" applyAlignment="1">
      <alignment vertical="center" wrapText="1"/>
    </xf>
    <xf numFmtId="0" fontId="1" fillId="0" borderId="0" xfId="0" applyFont="1"/>
    <xf numFmtId="0" fontId="0" fillId="0" borderId="2"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0"/>
  <c:chart>
    <c:title>
      <c:tx>
        <c:rich>
          <a:bodyPr/>
          <a:lstStyle/>
          <a:p>
            <a:pPr>
              <a:defRPr/>
            </a:pPr>
            <a:r>
              <a:rPr lang="cs-CZ"/>
              <a:t>Magnety proti mezi (oranžová = ber, šedá = deska to nemusí vidět)</a:t>
            </a:r>
          </a:p>
        </c:rich>
      </c:tx>
      <c:overlay val="1"/>
    </c:title>
    <c:autoTitleDeleted val="0"/>
    <c:plotArea>
      <c:layout/>
      <c:lineChart>
        <c:grouping val="standard"/>
        <c:varyColors val="1"/>
        <c:ser>
          <c:idx val="0"/>
          <c:order val="0"/>
          <c:tx>
            <c:strRef>
              <c:f>Měření!$B$1</c:f>
              <c:strCache>
                <c:ptCount val="1"/>
                <c:pt idx="0">
                  <c:v>energie</c:v>
                </c:pt>
              </c:strCache>
            </c:strRef>
          </c:tx>
          <c:spPr>
            <a:ln w="18000">
              <a:solidFill>
                <a:srgbClr val="2E75B6"/>
              </a:solidFill>
              <a:prstDash val="solid"/>
            </a:ln>
          </c:spPr>
          <c:marker>
            <c:symbol val="circle"/>
            <c:size val="7"/>
            <c:spPr>
              <a:solidFill>
                <a:srgbClr val="2E75B6"/>
              </a:solidFill>
              <a:ln>
                <a:solidFill>
                  <a:srgbClr val="2E75B6"/>
                </a:solidFill>
                <a:prstDash val="solid"/>
              </a:ln>
            </c:spPr>
          </c:marker>
          <c:cat>
            <c:numRef>
              <c:f>Měření!$A$2:$A$31</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Měření!$B$2:$B$31</c:f>
              <c:numCache>
                <c:formatCode>#,##0</c:formatCode>
                <c:ptCount val="30"/>
                <c:pt idx="0">
                  <c:v>59650</c:v>
                </c:pt>
                <c:pt idx="1">
                  <c:v>172420</c:v>
                </c:pt>
                <c:pt idx="2">
                  <c:v>222937</c:v>
                </c:pt>
                <c:pt idx="3">
                  <c:v>360797</c:v>
                </c:pt>
                <c:pt idx="4">
                  <c:v>642760</c:v>
                </c:pt>
                <c:pt idx="5">
                  <c:v>1326866</c:v>
                </c:pt>
                <c:pt idx="6">
                  <c:v>2145938</c:v>
                </c:pt>
                <c:pt idx="7" formatCode="General">
                  <c:v>6034660</c:v>
                </c:pt>
                <c:pt idx="8">
                  <c:v>7250530</c:v>
                </c:pt>
              </c:numCache>
            </c:numRef>
          </c:val>
          <c:smooth val="1"/>
          <c:extLst>
            <c:ext xmlns:c16="http://schemas.microsoft.com/office/drawing/2014/chart" uri="{C3380CC4-5D6E-409C-BE32-E72D297353CC}">
              <c16:uniqueId val="{00000000-4E78-43E0-A303-36EFE643A5F3}"/>
            </c:ext>
          </c:extLst>
        </c:ser>
        <c:ser>
          <c:idx val="1"/>
          <c:order val="1"/>
          <c:tx>
            <c:strRef>
              <c:f>Měření!$D$1</c:f>
              <c:strCache>
                <c:ptCount val="1"/>
                <c:pt idx="0">
                  <c:v>doporučená mez</c:v>
                </c:pt>
              </c:strCache>
            </c:strRef>
          </c:tx>
          <c:spPr>
            <a:ln w="25000">
              <a:solidFill>
                <a:srgbClr val="C65911"/>
              </a:solidFill>
              <a:prstDash val="solid"/>
            </a:ln>
          </c:spPr>
          <c:marker>
            <c:symbol val="none"/>
          </c:marker>
          <c:cat>
            <c:numRef>
              <c:f>Měření!$A$2:$A$31</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Měření!$D$2:$D$31</c:f>
            </c:numRef>
          </c:val>
          <c:smooth val="1"/>
          <c:extLst>
            <c:ext xmlns:c16="http://schemas.microsoft.com/office/drawing/2014/chart" uri="{C3380CC4-5D6E-409C-BE32-E72D297353CC}">
              <c16:uniqueId val="{00000001-4E78-43E0-A303-36EFE643A5F3}"/>
            </c:ext>
          </c:extLst>
        </c:ser>
        <c:ser>
          <c:idx val="2"/>
          <c:order val="2"/>
          <c:tx>
            <c:strRef>
              <c:f>Měření!$E$1</c:f>
              <c:strCache>
                <c:ptCount val="1"/>
                <c:pt idx="0">
                  <c:v>práh obsazeno</c:v>
                </c:pt>
              </c:strCache>
            </c:strRef>
          </c:tx>
          <c:spPr>
            <a:ln w="25000">
              <a:solidFill>
                <a:srgbClr val="7F7F7F"/>
              </a:solidFill>
              <a:prstDash val="dash"/>
            </a:ln>
          </c:spPr>
          <c:marker>
            <c:symbol val="none"/>
          </c:marker>
          <c:cat>
            <c:numRef>
              <c:f>Měření!$A$2:$A$31</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Měření!$E$2:$E$31</c:f>
            </c:numRef>
          </c:val>
          <c:smooth val="1"/>
          <c:extLst>
            <c:ext xmlns:c16="http://schemas.microsoft.com/office/drawing/2014/chart" uri="{C3380CC4-5D6E-409C-BE32-E72D297353CC}">
              <c16:uniqueId val="{00000002-4E78-43E0-A303-36EFE643A5F3}"/>
            </c:ext>
          </c:extLst>
        </c:ser>
        <c:ser>
          <c:idx val="3"/>
          <c:order val="3"/>
          <c:tx>
            <c:strRef>
              <c:f>Měření!$F$1</c:f>
              <c:strCache>
                <c:ptCount val="1"/>
                <c:pt idx="0">
                  <c:v>šum desky</c:v>
                </c:pt>
              </c:strCache>
            </c:strRef>
          </c:tx>
          <c:spPr>
            <a:ln w="25000">
              <a:solidFill>
                <a:srgbClr val="BFBFBF"/>
              </a:solidFill>
              <a:prstDash val="dash"/>
            </a:ln>
          </c:spPr>
          <c:marker>
            <c:symbol val="none"/>
          </c:marker>
          <c:cat>
            <c:numRef>
              <c:f>Měření!$A$2:$A$31</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Měření!$F$2:$F$31</c:f>
            </c:numRef>
          </c:val>
          <c:smooth val="1"/>
          <c:extLst>
            <c:ext xmlns:c16="http://schemas.microsoft.com/office/drawing/2014/chart" uri="{C3380CC4-5D6E-409C-BE32-E72D297353CC}">
              <c16:uniqueId val="{00000003-4E78-43E0-A303-36EFE643A5F3}"/>
            </c:ext>
          </c:extLst>
        </c:ser>
        <c:dLbls>
          <c:showLegendKey val="0"/>
          <c:showVal val="0"/>
          <c:showCatName val="0"/>
          <c:showSerName val="0"/>
          <c:showPercent val="0"/>
          <c:showBubbleSize val="0"/>
        </c:dLbls>
        <c:marker val="1"/>
        <c:smooth val="0"/>
        <c:axId val="10"/>
        <c:axId val="100"/>
      </c:lineChart>
      <c:catAx>
        <c:axId val="10"/>
        <c:scaling>
          <c:orientation val="minMax"/>
        </c:scaling>
        <c:delete val="1"/>
        <c:axPos val="b"/>
        <c:title>
          <c:tx>
            <c:rich>
              <a:bodyPr/>
              <a:lstStyle/>
              <a:p>
                <a:pPr>
                  <a:defRPr/>
                </a:pPr>
                <a:r>
                  <a:rPr lang="cs-CZ"/>
                  <a:t>magnet</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min val="0"/>
        </c:scaling>
        <c:delete val="1"/>
        <c:axPos val="l"/>
        <c:majorGridlines/>
        <c:title>
          <c:tx>
            <c:rich>
              <a:bodyPr/>
              <a:lstStyle/>
              <a:p>
                <a:pPr>
                  <a:defRPr/>
                </a:pPr>
                <a:r>
                  <a:rPr lang="cs-CZ"/>
                  <a:t>energie</a:t>
                </a:r>
              </a:p>
            </c:rich>
          </c:tx>
          <c:overlay val="1"/>
        </c:title>
        <c:numFmt formatCode="#,##0" sourceLinked="1"/>
        <c:majorTickMark val="none"/>
        <c:minorTickMark val="none"/>
        <c:tickLblPos val="nextTo"/>
        <c:crossAx val="10"/>
        <c:crosses val="min"/>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0"/>
  <c:chart>
    <c:title>
      <c:tx>
        <c:rich>
          <a:bodyPr/>
          <a:lstStyle/>
          <a:p>
            <a:pPr>
              <a:defRPr/>
            </a:pPr>
            <a:r>
              <a:t>Co senzor přečte: minimum, mez, strop</a:t>
            </a:r>
          </a:p>
        </c:rich>
      </c:tx>
      <c:overlay val="1"/>
    </c:title>
    <c:autoTitleDeleted val="0"/>
    <c:plotArea>
      <c:layout/>
      <c:barChart>
        <c:barDir val="col"/>
        <c:grouping val="clustered"/>
        <c:varyColors val="1"/>
        <c:ser>
          <c:idx val="0"/>
          <c:order val="0"/>
          <c:tx>
            <c:strRef>
              <c:f>Limity!$B$3</c:f>
              <c:strCache>
                <c:ptCount val="1"/>
                <c:pt idx="0">
                  <c:v>Energie</c:v>
                </c:pt>
              </c:strCache>
            </c:strRef>
          </c:tx>
          <c:spPr>
            <a:solidFill>
              <a:srgbClr val="1F4E79"/>
            </a:solidFill>
            <a:ln>
              <a:prstDash val="solid"/>
            </a:ln>
          </c:spPr>
          <c:invertIfNegative val="1"/>
          <c:dLbls>
            <c:spPr>
              <a:noFill/>
              <a:ln>
                <a:noFill/>
              </a:ln>
              <a:effectLst/>
            </c:spPr>
            <c:showLegendKey val="1"/>
            <c:showVal val="1"/>
            <c:showCatName val="1"/>
            <c:showSerName val="1"/>
            <c:showPercent val="1"/>
            <c:showBubbleSize val="1"/>
            <c:showLeaderLines val="0"/>
            <c:extLst>
              <c:ext xmlns:c15="http://schemas.microsoft.com/office/drawing/2012/chart" uri="{CE6537A1-D6FC-4f65-9D91-7224C49458BB}">
                <c15:showLeaderLines val="0"/>
              </c:ext>
            </c:extLst>
          </c:dLbls>
          <c:cat>
            <c:strRef>
              <c:f>Limity!$A$4:$A$9</c:f>
              <c:strCache>
                <c:ptCount val="6"/>
                <c:pt idx="0">
                  <c:v>Minimum senzoru</c:v>
                </c:pt>
                <c:pt idx="1">
                  <c:v>Šum, který firmware ignoruje</c:v>
                </c:pt>
                <c:pt idx="2">
                  <c:v>Práh „obsazeno“</c:v>
                </c:pt>
                <c:pt idx="3">
                  <c:v>Doporučené minimum magnetu</c:v>
                </c:pt>
                <c:pt idx="4">
                  <c:v>Lineární strop DRV5055A1</c:v>
                </c:pt>
                <c:pt idx="5">
                  <c:v>Strop ADC</c:v>
                </c:pt>
              </c:strCache>
            </c:strRef>
          </c:cat>
          <c:val>
            <c:numRef>
              <c:f>Limity!$B$4:$B$9</c:f>
              <c:numCache>
                <c:formatCode>#,##0</c:formatCode>
                <c:ptCount val="6"/>
                <c:pt idx="0">
                  <c:v>0</c:v>
                </c:pt>
                <c:pt idx="1">
                  <c:v>15000</c:v>
                </c:pt>
                <c:pt idx="2">
                  <c:v>72900</c:v>
                </c:pt>
                <c:pt idx="3">
                  <c:v>150000</c:v>
                </c:pt>
                <c:pt idx="4">
                  <c:v>5916800</c:v>
                </c:pt>
                <c:pt idx="5">
                  <c:v>8388608</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CE4-4C62-BFF5-999A58ED06DB}"/>
            </c:ext>
          </c:extLst>
        </c:ser>
        <c:dLbls>
          <c:showLegendKey val="1"/>
          <c:showVal val="1"/>
          <c:showCatName val="1"/>
          <c:showSerName val="1"/>
          <c:showPercent val="1"/>
          <c:showBubbleSize val="1"/>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max val="9000000"/>
          <c:min val="0"/>
        </c:scaling>
        <c:delete val="1"/>
        <c:axPos val="l"/>
        <c:majorGridlines/>
        <c:title>
          <c:tx>
            <c:rich>
              <a:bodyPr/>
              <a:lstStyle/>
              <a:p>
                <a:pPr>
                  <a:defRPr/>
                </a:pPr>
                <a:r>
                  <a:t>energie</a:t>
                </a:r>
              </a:p>
            </c:rich>
          </c:tx>
          <c:overlay val="1"/>
        </c:title>
        <c:numFmt formatCode="#,##0"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0</xdr:col>
      <xdr:colOff>0</xdr:colOff>
      <xdr:row>34</xdr:row>
      <xdr:rowOff>0</xdr:rowOff>
    </xdr:from>
    <xdr:ext cx="7920000" cy="432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7920000" cy="360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3"/>
  <sheetViews>
    <sheetView showGridLines="0" tabSelected="1" zoomScale="145" zoomScaleNormal="145" workbookViewId="0">
      <pane ySplit="1" topLeftCell="A33" activePane="bottomLeft" state="frozen"/>
      <selection pane="bottomLeft" activeCell="P53" sqref="P53"/>
    </sheetView>
  </sheetViews>
  <sheetFormatPr defaultRowHeight="15" x14ac:dyDescent="0.25"/>
  <cols>
    <col min="1" max="1" width="8" customWidth="1"/>
    <col min="2" max="2" width="16" customWidth="1"/>
    <col min="3" max="3" width="32.5703125" customWidth="1"/>
    <col min="4" max="6" width="13" hidden="1" customWidth="1"/>
  </cols>
  <sheetData>
    <row r="1" spans="1:6" x14ac:dyDescent="0.25">
      <c r="A1" s="1" t="s">
        <v>0</v>
      </c>
      <c r="B1" s="1" t="s">
        <v>1</v>
      </c>
      <c r="C1" s="1" t="s">
        <v>2</v>
      </c>
      <c r="D1" s="1" t="s">
        <v>3</v>
      </c>
      <c r="E1" s="1" t="s">
        <v>4</v>
      </c>
      <c r="F1" s="1" t="s">
        <v>5</v>
      </c>
    </row>
    <row r="2" spans="1:6" x14ac:dyDescent="0.25">
      <c r="A2" s="2">
        <v>1</v>
      </c>
      <c r="B2" s="3">
        <v>59650</v>
      </c>
      <c r="C2" s="4" t="s">
        <v>33</v>
      </c>
      <c r="D2" s="5">
        <f>Limity!$B$12</f>
        <v>150000</v>
      </c>
      <c r="E2" s="5">
        <f>Limity!$B$6</f>
        <v>72900</v>
      </c>
      <c r="F2" s="5">
        <f>Limity!$B$5</f>
        <v>15000</v>
      </c>
    </row>
    <row r="3" spans="1:6" x14ac:dyDescent="0.25">
      <c r="A3" s="2">
        <v>2</v>
      </c>
      <c r="B3" s="3">
        <v>172420</v>
      </c>
      <c r="C3" s="4" t="s">
        <v>35</v>
      </c>
      <c r="D3" s="5">
        <f>Limity!$B$12</f>
        <v>150000</v>
      </c>
      <c r="E3" s="5">
        <f>Limity!$B$6</f>
        <v>72900</v>
      </c>
      <c r="F3" s="5">
        <f>Limity!$B$5</f>
        <v>15000</v>
      </c>
    </row>
    <row r="4" spans="1:6" x14ac:dyDescent="0.25">
      <c r="A4" s="2">
        <v>3</v>
      </c>
      <c r="B4" s="3">
        <v>222937</v>
      </c>
      <c r="C4" s="4" t="s">
        <v>36</v>
      </c>
      <c r="D4" s="5">
        <f>Limity!$B$12</f>
        <v>150000</v>
      </c>
      <c r="E4" s="5">
        <f>Limity!$B$6</f>
        <v>72900</v>
      </c>
      <c r="F4" s="5">
        <f>Limity!$B$5</f>
        <v>15000</v>
      </c>
    </row>
    <row r="5" spans="1:6" x14ac:dyDescent="0.25">
      <c r="A5" s="2">
        <v>4</v>
      </c>
      <c r="B5" s="3">
        <v>360797</v>
      </c>
      <c r="C5" s="4" t="s">
        <v>34</v>
      </c>
      <c r="D5" s="5">
        <f>Limity!$B$12</f>
        <v>150000</v>
      </c>
      <c r="E5" s="5">
        <f>Limity!$B$6</f>
        <v>72900</v>
      </c>
      <c r="F5" s="5">
        <f>Limity!$B$5</f>
        <v>15000</v>
      </c>
    </row>
    <row r="6" spans="1:6" x14ac:dyDescent="0.25">
      <c r="A6" s="2">
        <v>5</v>
      </c>
      <c r="B6" s="3">
        <v>642760</v>
      </c>
      <c r="C6" s="4" t="s">
        <v>37</v>
      </c>
      <c r="D6" s="5">
        <f>Limity!$B$12</f>
        <v>150000</v>
      </c>
      <c r="E6" s="5">
        <f>Limity!$B$6</f>
        <v>72900</v>
      </c>
      <c r="F6" s="5">
        <f>Limity!$B$5</f>
        <v>15000</v>
      </c>
    </row>
    <row r="7" spans="1:6" x14ac:dyDescent="0.25">
      <c r="A7" s="2">
        <v>6</v>
      </c>
      <c r="B7" s="3">
        <v>1326866</v>
      </c>
      <c r="C7" s="4" t="s">
        <v>38</v>
      </c>
      <c r="D7" s="5">
        <f>Limity!$B$12</f>
        <v>150000</v>
      </c>
      <c r="E7" s="5">
        <f>Limity!$B$6</f>
        <v>72900</v>
      </c>
      <c r="F7" s="5">
        <f>Limity!$B$5</f>
        <v>15000</v>
      </c>
    </row>
    <row r="8" spans="1:6" x14ac:dyDescent="0.25">
      <c r="A8" s="2">
        <v>7</v>
      </c>
      <c r="B8" s="3">
        <v>2145938</v>
      </c>
      <c r="C8" s="4" t="s">
        <v>39</v>
      </c>
      <c r="D8" s="5">
        <f>Limity!$B$12</f>
        <v>150000</v>
      </c>
      <c r="E8" s="5">
        <f>Limity!$B$6</f>
        <v>72900</v>
      </c>
      <c r="F8" s="5">
        <f>Limity!$B$5</f>
        <v>15000</v>
      </c>
    </row>
    <row r="9" spans="1:6" x14ac:dyDescent="0.25">
      <c r="A9" s="2">
        <v>8</v>
      </c>
      <c r="B9">
        <v>6034660</v>
      </c>
      <c r="C9" s="16" t="s">
        <v>41</v>
      </c>
      <c r="D9" s="5">
        <f>Limity!$B$12</f>
        <v>150000</v>
      </c>
      <c r="E9" s="5">
        <f>Limity!$B$6</f>
        <v>72900</v>
      </c>
      <c r="F9" s="5">
        <f>Limity!$B$5</f>
        <v>15000</v>
      </c>
    </row>
    <row r="10" spans="1:6" x14ac:dyDescent="0.25">
      <c r="A10" s="2">
        <v>9</v>
      </c>
      <c r="B10" s="3">
        <v>7250530</v>
      </c>
      <c r="C10" s="4" t="s">
        <v>40</v>
      </c>
      <c r="D10" s="5">
        <f>Limity!$B$12</f>
        <v>150000</v>
      </c>
      <c r="E10" s="5">
        <f>Limity!$B$6</f>
        <v>72900</v>
      </c>
      <c r="F10" s="5">
        <f>Limity!$B$5</f>
        <v>15000</v>
      </c>
    </row>
    <row r="11" spans="1:6" x14ac:dyDescent="0.25">
      <c r="A11" s="2">
        <v>10</v>
      </c>
      <c r="B11" s="3"/>
      <c r="C11" s="4"/>
      <c r="D11" s="5">
        <f>Limity!$B$12</f>
        <v>150000</v>
      </c>
      <c r="E11" s="5">
        <f>Limity!$B$6</f>
        <v>72900</v>
      </c>
      <c r="F11" s="5">
        <f>Limity!$B$5</f>
        <v>15000</v>
      </c>
    </row>
    <row r="12" spans="1:6" x14ac:dyDescent="0.25">
      <c r="A12" s="2">
        <v>11</v>
      </c>
      <c r="B12" s="3"/>
      <c r="C12" s="4"/>
      <c r="D12" s="5">
        <f>Limity!$B$12</f>
        <v>150000</v>
      </c>
      <c r="E12" s="5">
        <f>Limity!$B$6</f>
        <v>72900</v>
      </c>
      <c r="F12" s="5">
        <f>Limity!$B$5</f>
        <v>15000</v>
      </c>
    </row>
    <row r="13" spans="1:6" x14ac:dyDescent="0.25">
      <c r="A13" s="2">
        <v>12</v>
      </c>
      <c r="D13" s="5">
        <f>Limity!$B$12</f>
        <v>150000</v>
      </c>
      <c r="E13" s="5">
        <f>Limity!$B$6</f>
        <v>72900</v>
      </c>
      <c r="F13" s="5">
        <f>Limity!$B$5</f>
        <v>15000</v>
      </c>
    </row>
    <row r="14" spans="1:6" x14ac:dyDescent="0.25">
      <c r="A14" s="2">
        <v>13</v>
      </c>
      <c r="B14" s="3"/>
      <c r="C14" s="4"/>
      <c r="D14" s="5">
        <f>Limity!$B$12</f>
        <v>150000</v>
      </c>
      <c r="E14" s="5">
        <f>Limity!$B$6</f>
        <v>72900</v>
      </c>
      <c r="F14" s="5">
        <f>Limity!$B$5</f>
        <v>15000</v>
      </c>
    </row>
    <row r="15" spans="1:6" x14ac:dyDescent="0.25">
      <c r="A15" s="2">
        <v>14</v>
      </c>
      <c r="B15" s="3"/>
      <c r="C15" s="4"/>
      <c r="D15" s="5">
        <f>Limity!$B$12</f>
        <v>150000</v>
      </c>
      <c r="E15" s="5">
        <f>Limity!$B$6</f>
        <v>72900</v>
      </c>
      <c r="F15" s="5">
        <f>Limity!$B$5</f>
        <v>15000</v>
      </c>
    </row>
    <row r="16" spans="1:6" x14ac:dyDescent="0.25">
      <c r="A16" s="2">
        <v>15</v>
      </c>
      <c r="B16" s="3"/>
      <c r="C16" s="4"/>
      <c r="D16" s="5">
        <f>Limity!$B$12</f>
        <v>150000</v>
      </c>
      <c r="E16" s="5">
        <f>Limity!$B$6</f>
        <v>72900</v>
      </c>
      <c r="F16" s="5">
        <f>Limity!$B$5</f>
        <v>15000</v>
      </c>
    </row>
    <row r="17" spans="1:6" x14ac:dyDescent="0.25">
      <c r="A17" s="2">
        <v>16</v>
      </c>
      <c r="B17" s="3"/>
      <c r="C17" s="4"/>
      <c r="D17" s="5">
        <f>Limity!$B$12</f>
        <v>150000</v>
      </c>
      <c r="E17" s="5">
        <f>Limity!$B$6</f>
        <v>72900</v>
      </c>
      <c r="F17" s="5">
        <f>Limity!$B$5</f>
        <v>15000</v>
      </c>
    </row>
    <row r="18" spans="1:6" x14ac:dyDescent="0.25">
      <c r="A18" s="2">
        <v>17</v>
      </c>
      <c r="B18" s="3"/>
      <c r="C18" s="4"/>
      <c r="D18" s="5">
        <f>Limity!$B$12</f>
        <v>150000</v>
      </c>
      <c r="E18" s="5">
        <f>Limity!$B$6</f>
        <v>72900</v>
      </c>
      <c r="F18" s="5">
        <f>Limity!$B$5</f>
        <v>15000</v>
      </c>
    </row>
    <row r="19" spans="1:6" x14ac:dyDescent="0.25">
      <c r="A19" s="2">
        <v>18</v>
      </c>
      <c r="B19" s="3"/>
      <c r="C19" s="4"/>
      <c r="D19" s="5">
        <f>Limity!$B$12</f>
        <v>150000</v>
      </c>
      <c r="E19" s="5">
        <f>Limity!$B$6</f>
        <v>72900</v>
      </c>
      <c r="F19" s="5">
        <f>Limity!$B$5</f>
        <v>15000</v>
      </c>
    </row>
    <row r="20" spans="1:6" x14ac:dyDescent="0.25">
      <c r="A20" s="2">
        <v>19</v>
      </c>
      <c r="B20" s="3"/>
      <c r="C20" s="4"/>
      <c r="D20" s="5">
        <f>Limity!$B$12</f>
        <v>150000</v>
      </c>
      <c r="E20" s="5">
        <f>Limity!$B$6</f>
        <v>72900</v>
      </c>
      <c r="F20" s="5">
        <f>Limity!$B$5</f>
        <v>15000</v>
      </c>
    </row>
    <row r="21" spans="1:6" x14ac:dyDescent="0.25">
      <c r="A21" s="2">
        <v>20</v>
      </c>
      <c r="B21" s="3"/>
      <c r="C21" s="4"/>
      <c r="D21" s="5">
        <f>Limity!$B$12</f>
        <v>150000</v>
      </c>
      <c r="E21" s="5">
        <f>Limity!$B$6</f>
        <v>72900</v>
      </c>
      <c r="F21" s="5">
        <f>Limity!$B$5</f>
        <v>15000</v>
      </c>
    </row>
    <row r="22" spans="1:6" x14ac:dyDescent="0.25">
      <c r="A22" s="2">
        <v>21</v>
      </c>
      <c r="B22" s="3"/>
      <c r="C22" s="4"/>
      <c r="D22" s="5">
        <f>Limity!$B$12</f>
        <v>150000</v>
      </c>
      <c r="E22" s="5">
        <f>Limity!$B$6</f>
        <v>72900</v>
      </c>
      <c r="F22" s="5">
        <f>Limity!$B$5</f>
        <v>15000</v>
      </c>
    </row>
    <row r="23" spans="1:6" x14ac:dyDescent="0.25">
      <c r="A23" s="2">
        <v>22</v>
      </c>
      <c r="B23" s="3"/>
      <c r="C23" s="4"/>
      <c r="D23" s="5">
        <f>Limity!$B$12</f>
        <v>150000</v>
      </c>
      <c r="E23" s="5">
        <f>Limity!$B$6</f>
        <v>72900</v>
      </c>
      <c r="F23" s="5">
        <f>Limity!$B$5</f>
        <v>15000</v>
      </c>
    </row>
    <row r="24" spans="1:6" x14ac:dyDescent="0.25">
      <c r="A24" s="2">
        <v>23</v>
      </c>
      <c r="B24" s="3"/>
      <c r="C24" s="4"/>
      <c r="D24" s="5">
        <f>Limity!$B$12</f>
        <v>150000</v>
      </c>
      <c r="E24" s="5">
        <f>Limity!$B$6</f>
        <v>72900</v>
      </c>
      <c r="F24" s="5">
        <f>Limity!$B$5</f>
        <v>15000</v>
      </c>
    </row>
    <row r="25" spans="1:6" x14ac:dyDescent="0.25">
      <c r="A25" s="2">
        <v>24</v>
      </c>
      <c r="B25" s="3"/>
      <c r="C25" s="4"/>
      <c r="D25" s="5">
        <f>Limity!$B$12</f>
        <v>150000</v>
      </c>
      <c r="E25" s="5">
        <f>Limity!$B$6</f>
        <v>72900</v>
      </c>
      <c r="F25" s="5">
        <f>Limity!$B$5</f>
        <v>15000</v>
      </c>
    </row>
    <row r="26" spans="1:6" x14ac:dyDescent="0.25">
      <c r="A26" s="2">
        <v>25</v>
      </c>
      <c r="B26" s="3"/>
      <c r="C26" s="4"/>
      <c r="D26" s="5">
        <f>Limity!$B$12</f>
        <v>150000</v>
      </c>
      <c r="E26" s="5">
        <f>Limity!$B$6</f>
        <v>72900</v>
      </c>
      <c r="F26" s="5">
        <f>Limity!$B$5</f>
        <v>15000</v>
      </c>
    </row>
    <row r="27" spans="1:6" x14ac:dyDescent="0.25">
      <c r="A27" s="2">
        <v>26</v>
      </c>
      <c r="B27" s="3"/>
      <c r="C27" s="4"/>
      <c r="D27" s="5">
        <f>Limity!$B$12</f>
        <v>150000</v>
      </c>
      <c r="E27" s="5">
        <f>Limity!$B$6</f>
        <v>72900</v>
      </c>
      <c r="F27" s="5">
        <f>Limity!$B$5</f>
        <v>15000</v>
      </c>
    </row>
    <row r="28" spans="1:6" x14ac:dyDescent="0.25">
      <c r="A28" s="2">
        <v>27</v>
      </c>
      <c r="B28" s="3"/>
      <c r="C28" s="4"/>
      <c r="D28" s="5">
        <f>Limity!$B$12</f>
        <v>150000</v>
      </c>
      <c r="E28" s="5">
        <f>Limity!$B$6</f>
        <v>72900</v>
      </c>
      <c r="F28" s="5">
        <f>Limity!$B$5</f>
        <v>15000</v>
      </c>
    </row>
    <row r="29" spans="1:6" x14ac:dyDescent="0.25">
      <c r="A29" s="2">
        <v>28</v>
      </c>
      <c r="B29" s="3"/>
      <c r="C29" s="4"/>
      <c r="D29" s="5">
        <f>Limity!$B$12</f>
        <v>150000</v>
      </c>
      <c r="E29" s="5">
        <f>Limity!$B$6</f>
        <v>72900</v>
      </c>
      <c r="F29" s="5">
        <f>Limity!$B$5</f>
        <v>15000</v>
      </c>
    </row>
    <row r="30" spans="1:6" x14ac:dyDescent="0.25">
      <c r="A30" s="2">
        <v>29</v>
      </c>
      <c r="B30" s="3"/>
      <c r="C30" s="4"/>
      <c r="D30" s="5">
        <f>Limity!$B$12</f>
        <v>150000</v>
      </c>
      <c r="E30" s="5">
        <f>Limity!$B$6</f>
        <v>72900</v>
      </c>
      <c r="F30" s="5">
        <f>Limity!$B$5</f>
        <v>15000</v>
      </c>
    </row>
    <row r="31" spans="1:6" x14ac:dyDescent="0.25">
      <c r="A31" s="2">
        <v>30</v>
      </c>
      <c r="B31" s="3"/>
      <c r="C31" s="4"/>
      <c r="D31" s="5">
        <f>Limity!$B$12</f>
        <v>150000</v>
      </c>
      <c r="E31" s="5">
        <f>Limity!$B$6</f>
        <v>72900</v>
      </c>
      <c r="F31" s="5">
        <f>Limity!$B$5</f>
        <v>15000</v>
      </c>
    </row>
    <row r="33" spans="1:3" ht="32.1" customHeight="1" x14ac:dyDescent="0.25">
      <c r="A33" s="12" t="s">
        <v>6</v>
      </c>
      <c r="B33" s="13"/>
      <c r="C33" s="13"/>
    </row>
  </sheetData>
  <autoFilter ref="A1:C31" xr:uid="{00000000-0009-0000-0000-000000000000}"/>
  <mergeCells count="1">
    <mergeCell ref="A33:C33"/>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workbookViewId="0"/>
  </sheetViews>
  <sheetFormatPr defaultRowHeight="15" x14ac:dyDescent="0.25"/>
  <cols>
    <col min="1" max="1" width="42" customWidth="1"/>
    <col min="2" max="2" width="18" customWidth="1"/>
    <col min="3" max="3" width="88" customWidth="1"/>
  </cols>
  <sheetData>
    <row r="1" spans="1:3" ht="18.75" x14ac:dyDescent="0.3">
      <c r="A1" s="15" t="s">
        <v>7</v>
      </c>
      <c r="B1" s="13"/>
      <c r="C1" s="13"/>
    </row>
    <row r="3" spans="1:3" x14ac:dyDescent="0.25">
      <c r="A3" s="6" t="s">
        <v>8</v>
      </c>
      <c r="B3" s="6" t="s">
        <v>9</v>
      </c>
      <c r="C3" s="6" t="s">
        <v>10</v>
      </c>
    </row>
    <row r="4" spans="1:3" ht="32.1" customHeight="1" x14ac:dyDescent="0.25">
      <c r="A4" s="7" t="s">
        <v>11</v>
      </c>
      <c r="B4" s="8">
        <v>0</v>
      </c>
      <c r="C4" s="7" t="s">
        <v>12</v>
      </c>
    </row>
    <row r="5" spans="1:3" ht="32.1" customHeight="1" x14ac:dyDescent="0.25">
      <c r="A5" s="7" t="s">
        <v>13</v>
      </c>
      <c r="B5" s="8">
        <v>15000</v>
      </c>
      <c r="C5" s="7" t="s">
        <v>14</v>
      </c>
    </row>
    <row r="6" spans="1:3" ht="32.1" customHeight="1" x14ac:dyDescent="0.25">
      <c r="A6" s="7" t="s">
        <v>15</v>
      </c>
      <c r="B6" s="8">
        <v>72900</v>
      </c>
      <c r="C6" s="7" t="s">
        <v>16</v>
      </c>
    </row>
    <row r="7" spans="1:3" ht="32.1" customHeight="1" x14ac:dyDescent="0.25">
      <c r="A7" s="7" t="s">
        <v>17</v>
      </c>
      <c r="B7" s="8">
        <v>150000</v>
      </c>
      <c r="C7" s="7" t="s">
        <v>18</v>
      </c>
    </row>
    <row r="8" spans="1:3" ht="32.1" customHeight="1" x14ac:dyDescent="0.25">
      <c r="A8" s="7" t="s">
        <v>19</v>
      </c>
      <c r="B8" s="8">
        <v>5916800</v>
      </c>
      <c r="C8" s="7" t="s">
        <v>20</v>
      </c>
    </row>
    <row r="9" spans="1:3" ht="32.1" customHeight="1" x14ac:dyDescent="0.25">
      <c r="A9" s="7" t="s">
        <v>21</v>
      </c>
      <c r="B9" s="8">
        <v>8388608</v>
      </c>
      <c r="C9" s="7" t="s">
        <v>22</v>
      </c>
    </row>
    <row r="11" spans="1:3" ht="32.1" customHeight="1" x14ac:dyDescent="0.25">
      <c r="A11" s="7" t="s">
        <v>23</v>
      </c>
      <c r="B11" s="9"/>
      <c r="C11" s="7" t="s">
        <v>24</v>
      </c>
    </row>
    <row r="12" spans="1:3" x14ac:dyDescent="0.25">
      <c r="A12" s="4" t="s">
        <v>25</v>
      </c>
      <c r="B12" s="10">
        <f>MAX(B7,IF(B11="",B7,B11*3))</f>
        <v>150000</v>
      </c>
      <c r="C12" s="4" t="s">
        <v>26</v>
      </c>
    </row>
    <row r="14" spans="1:3" x14ac:dyDescent="0.25">
      <c r="A14" s="11" t="s">
        <v>27</v>
      </c>
    </row>
    <row r="16" spans="1:3" ht="36" customHeight="1" x14ac:dyDescent="0.25">
      <c r="A16" s="14" t="s">
        <v>28</v>
      </c>
      <c r="B16" s="13"/>
      <c r="C16" s="13"/>
    </row>
    <row r="17" spans="1:3" ht="36" customHeight="1" x14ac:dyDescent="0.25">
      <c r="A17" s="14" t="s">
        <v>29</v>
      </c>
      <c r="B17" s="13"/>
      <c r="C17" s="13"/>
    </row>
    <row r="18" spans="1:3" ht="36" customHeight="1" x14ac:dyDescent="0.25">
      <c r="A18" s="14" t="s">
        <v>30</v>
      </c>
      <c r="B18" s="13"/>
      <c r="C18" s="13"/>
    </row>
    <row r="19" spans="1:3" ht="36" customHeight="1" x14ac:dyDescent="0.25">
      <c r="A19" s="14" t="s">
        <v>31</v>
      </c>
      <c r="B19" s="13"/>
      <c r="C19" s="13"/>
    </row>
    <row r="20" spans="1:3" ht="36" customHeight="1" x14ac:dyDescent="0.25">
      <c r="A20" s="14" t="s">
        <v>32</v>
      </c>
      <c r="B20" s="13"/>
      <c r="C20" s="13"/>
    </row>
  </sheetData>
  <mergeCells count="6">
    <mergeCell ref="A19:C19"/>
    <mergeCell ref="A1:C1"/>
    <mergeCell ref="A17:C17"/>
    <mergeCell ref="A18:C18"/>
    <mergeCell ref="A20:C20"/>
    <mergeCell ref="A16:C16"/>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Měření</vt:lpstr>
      <vt:lpstr>Limity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Krutina Alfréd</cp:lastModifiedBy>
  <dcterms:created xsi:type="dcterms:W3CDTF">2026-10-17T15:07:45Z</dcterms:created>
  <dcterms:modified xsi:type="dcterms:W3CDTF">2026-10-17T15:48:08Z</dcterms:modified>
</cp:coreProperties>
</file>