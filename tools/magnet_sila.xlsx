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xmlns:r="http://schemas.openxmlformats.org/officeDocument/2006/relationships" name="Figury" sheetId="1" state="visible" r:id="rId1"/>
    <sheet xmlns:r="http://schemas.openxmlformats.org/officeDocument/2006/relationships" name="Měření" sheetId="2" state="visible" r:id="rId2"/>
    <sheet xmlns:r="http://schemas.openxmlformats.org/officeDocument/2006/relationships" name="Limity" sheetId="3" state="visible" r:id="rId3"/>
  </sheets>
  <definedNames>
    <definedName name="_xlnm._FilterDatabase" localSheetId="0" hidden="1">'Figury'!$A$4:$J$10</definedName>
    <definedName name="_xlnm.Print_Titles" localSheetId="0">'Figury'!$1:$4</definedName>
    <definedName name="_xlnm._FilterDatabase" localSheetId="1" hidden="1">'Měření'!$A$1:$C$31</definedName>
  </definedNames>
  <calcPr calcId="19102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FF1F4E79"/>
      <sz val="14"/>
    </font>
    <font>
      <name val="Calibri"/>
      <b val="1"/>
      <color rgb="FFFFFFFF"/>
      <sz val="11"/>
    </font>
    <font>
      <name val="Calibri"/>
      <b val="1"/>
      <sz val="11"/>
    </font>
    <font>
      <name val="Calibri"/>
      <color rgb="FF595959"/>
      <sz val="10"/>
    </font>
    <font>
      <b val="1"/>
      <color rgb="001F4E79"/>
      <sz val="14"/>
    </font>
    <font>
      <color rgb="00595959"/>
      <sz val="10"/>
    </font>
    <font>
      <b val="1"/>
      <color rgb="00FFFFFF"/>
    </font>
    <font>
      <b val="1"/>
      <color rgb="00C65911"/>
      <sz val="12"/>
    </font>
    <font>
      <b val="1"/>
      <color rgb="001F4E79"/>
    </font>
    <font>
      <color rgb="000563C1"/>
      <u val="single"/>
    </font>
  </fonts>
  <fills count="9">
    <fill>
      <patternFill/>
    </fill>
    <fill>
      <patternFill patternType="gray125"/>
    </fill>
    <fill>
      <patternFill patternType="solid">
        <fgColor rgb="FF1F4E79"/>
      </patternFill>
    </fill>
    <fill>
      <patternFill patternType="solid">
        <fgColor rgb="FFFFF2CC"/>
      </patternFill>
    </fill>
    <fill>
      <patternFill patternType="solid">
        <fgColor rgb="001F4E79"/>
      </patternFill>
    </fill>
    <fill>
      <patternFill patternType="solid">
        <fgColor rgb="00FFF2CC"/>
      </patternFill>
    </fill>
    <fill>
      <patternFill patternType="solid">
        <fgColor rgb="00E2EFDA"/>
      </patternFill>
    </fill>
    <fill>
      <patternFill patternType="solid">
        <fgColor rgb="00FCE4D6"/>
      </patternFill>
    </fill>
    <fill>
      <patternFill patternType="solid">
        <fgColor rgb="00F8CBAD"/>
      </patternFill>
    </fill>
  </fills>
  <borders count="8">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36">
    <xf numFmtId="0" fontId="0" fillId="0" borderId="0" pivotButton="0" quotePrefix="0" xfId="0"/>
    <xf numFmtId="0" fontId="2" fillId="2" borderId="0" applyAlignment="1" pivotButton="0" quotePrefix="0" xfId="0">
      <alignment horizontal="center"/>
    </xf>
    <xf numFmtId="0" fontId="0" fillId="0" borderId="1" applyAlignment="1" pivotButton="0" quotePrefix="0" xfId="0">
      <alignment horizontal="center"/>
    </xf>
    <xf numFmtId="3" fontId="0" fillId="3" borderId="1" pivotButton="0" quotePrefix="0" xfId="0"/>
    <xf numFmtId="0" fontId="0" fillId="0" borderId="1" pivotButton="0" quotePrefix="0" xfId="0"/>
    <xf numFmtId="3" fontId="0" fillId="0" borderId="1" pivotButton="0" quotePrefix="0" xfId="0"/>
    <xf numFmtId="0" fontId="2" fillId="2" borderId="0" pivotButton="0" quotePrefix="0" xfId="0"/>
    <xf numFmtId="0" fontId="0" fillId="0" borderId="1" applyAlignment="1" pivotButton="0" quotePrefix="0" xfId="0">
      <alignment vertical="center" wrapText="1"/>
    </xf>
    <xf numFmtId="3" fontId="0" fillId="0" borderId="1" applyAlignment="1" pivotButton="0" quotePrefix="0" xfId="0">
      <alignment vertical="center" wrapText="1"/>
    </xf>
    <xf numFmtId="3" fontId="0" fillId="3" borderId="1" applyAlignment="1" pivotButton="0" quotePrefix="0" xfId="0">
      <alignment vertical="center" wrapText="1"/>
    </xf>
    <xf numFmtId="3" fontId="3" fillId="0" borderId="1" pivotButton="0" quotePrefix="0" xfId="0"/>
    <xf numFmtId="0" fontId="3" fillId="0" borderId="0" pivotButton="0" quotePrefix="0" xfId="0"/>
    <xf numFmtId="0" fontId="4" fillId="0" borderId="0" applyAlignment="1" pivotButton="0" quotePrefix="0" xfId="0">
      <alignment wrapText="1"/>
    </xf>
    <xf numFmtId="0" fontId="0" fillId="0" borderId="0" pivotButton="0" quotePrefix="0" xfId="0"/>
    <xf numFmtId="0" fontId="4" fillId="0" borderId="0" applyAlignment="1" pivotButton="0" quotePrefix="0" xfId="0">
      <alignment vertical="center" wrapText="1"/>
    </xf>
    <xf numFmtId="0" fontId="1" fillId="0" borderId="0" pivotButton="0" quotePrefix="0" xfId="0"/>
    <xf numFmtId="0" fontId="0" fillId="0" borderId="2" pivotButton="0" quotePrefix="0" xfId="0"/>
    <xf numFmtId="0" fontId="5" fillId="0" borderId="0" pivotButton="0" quotePrefix="0" xfId="0"/>
    <xf numFmtId="0" fontId="6" fillId="0" borderId="0" applyAlignment="1" pivotButton="0" quotePrefix="0" xfId="0">
      <alignment vertical="center" wrapText="1"/>
    </xf>
    <xf numFmtId="0" fontId="7" fillId="4" borderId="0" applyAlignment="1" pivotButton="0" quotePrefix="0" xfId="0">
      <alignment horizontal="center" vertical="center" wrapText="1"/>
    </xf>
    <xf numFmtId="0" fontId="0" fillId="6" borderId="3" applyAlignment="1" pivotButton="0" quotePrefix="0" xfId="0">
      <alignment vertical="center" wrapText="1"/>
    </xf>
    <xf numFmtId="0" fontId="0" fillId="0" borderId="3" applyAlignment="1" pivotButton="0" quotePrefix="0" xfId="0">
      <alignment vertical="center" wrapText="1"/>
    </xf>
    <xf numFmtId="3" fontId="0" fillId="0" borderId="3" applyAlignment="1" pivotButton="0" quotePrefix="0" xfId="0">
      <alignment vertical="center" wrapText="1"/>
    </xf>
    <xf numFmtId="2" fontId="0" fillId="0" borderId="3" applyAlignment="1" pivotButton="0" quotePrefix="0" xfId="0">
      <alignment vertical="center" wrapText="1"/>
    </xf>
    <xf numFmtId="0" fontId="0" fillId="7" borderId="3" applyAlignment="1" pivotButton="0" quotePrefix="0" xfId="0">
      <alignment vertical="center" wrapText="1"/>
    </xf>
    <xf numFmtId="0" fontId="0" fillId="5" borderId="3" applyAlignment="1" pivotButton="0" quotePrefix="0" xfId="0">
      <alignment vertical="center" wrapText="1"/>
    </xf>
    <xf numFmtId="3" fontId="0" fillId="5" borderId="3" applyAlignment="1" pivotButton="0" quotePrefix="0" xfId="0">
      <alignment vertical="center" wrapText="1"/>
    </xf>
    <xf numFmtId="0" fontId="8" fillId="0" borderId="0" pivotButton="0" quotePrefix="0" xfId="0"/>
    <xf numFmtId="0" fontId="7" fillId="4" borderId="0" pivotButton="0" quotePrefix="0" xfId="0"/>
    <xf numFmtId="0" fontId="0" fillId="8" borderId="3" applyAlignment="1" pivotButton="0" quotePrefix="0" xfId="0">
      <alignment vertical="center" wrapText="1"/>
    </xf>
    <xf numFmtId="0" fontId="9" fillId="0" borderId="0" pivotButton="0" quotePrefix="0" xfId="0"/>
    <xf numFmtId="0" fontId="0" fillId="0" borderId="3" applyAlignment="1" pivotButton="0" quotePrefix="0" xfId="0">
      <alignment horizontal="left" vertical="center" wrapText="1"/>
    </xf>
    <xf numFmtId="0" fontId="0" fillId="0" borderId="3" applyAlignment="1" pivotButton="0" quotePrefix="0" xfId="0">
      <alignment horizontal="center" vertical="center"/>
    </xf>
    <xf numFmtId="0" fontId="10" fillId="0" borderId="3" applyAlignment="1" pivotButton="0" quotePrefix="0" xfId="0">
      <alignment horizontal="left" vertical="center" wrapText="1"/>
    </xf>
    <xf numFmtId="0" fontId="0" fillId="0" borderId="6" pivotButton="0" quotePrefix="0" xfId="0"/>
    <xf numFmtId="0" fontId="0" fillId="0" borderId="7"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Energie figur (král až po doplnění žluté buňky)</a:t>
            </a:r>
          </a:p>
        </rich>
      </tx>
    </title>
    <plotArea>
      <barChart>
        <barDir val="col"/>
        <grouping val="clustered"/>
        <ser>
          <idx val="0"/>
          <order val="0"/>
          <tx>
            <strRef>
              <f>'Figury'!C4</f>
            </strRef>
          </tx>
          <spPr>
            <a:solidFill xmlns:a="http://schemas.openxmlformats.org/drawingml/2006/main">
              <a:srgbClr val="1F4E79"/>
            </a:solidFill>
            <a:ln xmlns:a="http://schemas.openxmlformats.org/drawingml/2006/main">
              <a:prstDash val="solid"/>
            </a:ln>
          </spPr>
          <cat>
            <numRef>
              <f>'Figury'!$A$5:$A$10</f>
            </numRef>
          </cat>
          <val>
            <numRef>
              <f>'Figury'!$C$5:$C$10</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max val="5500000"/>
          <min val="0"/>
        </scaling>
        <axPos val="l"/>
        <majorGridlines/>
        <title>
          <tx>
            <rich>
              <a:bodyPr xmlns:a="http://schemas.openxmlformats.org/drawingml/2006/main"/>
              <a:p xmlns:a="http://schemas.openxmlformats.org/drawingml/2006/main">
                <a:pPr>
                  <a:defRPr/>
                </a:pPr>
                <a:r>
                  <a:t>energie</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cs-CZ"/>
              <a:t>Magnety proti mezi (oranžová = ber, šedá = deska to nemusí vidět)</a:t>
            </a:r>
          </a:p>
        </rich>
      </tx>
      <overlay val="1"/>
    </title>
    <plotArea>
      <layout/>
      <lineChart>
        <grouping val="standard"/>
        <varyColors val="1"/>
        <ser>
          <idx val="0"/>
          <order val="0"/>
          <tx>
            <strRef>
              <f>Měření!$B$1</f>
              <strCache>
                <ptCount val="1"/>
                <pt idx="0">
                  <v>energie</v>
                </pt>
              </strCache>
            </strRef>
          </tx>
          <spPr>
            <a:ln xmlns:a="http://schemas.openxmlformats.org/drawingml/2006/main" w="18000">
              <a:solidFill>
                <a:srgbClr val="2E75B6"/>
              </a:solidFill>
              <a:prstDash val="solid"/>
            </a:ln>
          </spPr>
          <marker>
            <symbol val="circle"/>
            <size val="7"/>
            <spPr>
              <a:solidFill xmlns:a="http://schemas.openxmlformats.org/drawingml/2006/main">
                <a:srgbClr val="2E75B6"/>
              </a:solidFill>
              <a:ln xmlns:a="http://schemas.openxmlformats.org/drawingml/2006/main">
                <a:solidFill>
                  <a:srgbClr val="2E75B6"/>
                </a:solidFill>
                <a:prstDash val="solid"/>
              </a:ln>
            </spPr>
          </marker>
          <cat>
            <numRef>
              <f>Měření!$A$2:$A$31</f>
              <numCache>
                <formatCode>General</formatCode>
                <ptCount val="30"/>
                <pt idx="0">
                  <v>1</v>
                </pt>
                <pt idx="1">
                  <v>2</v>
                </pt>
                <pt idx="2">
                  <v>3</v>
                </pt>
                <pt idx="3">
                  <v>4</v>
                </pt>
                <pt idx="4">
                  <v>5</v>
                </pt>
                <pt idx="5">
                  <v>6</v>
                </pt>
                <pt idx="6">
                  <v>7</v>
                </pt>
                <pt idx="7">
                  <v>8</v>
                </pt>
                <pt idx="8">
                  <v>9</v>
                </pt>
                <pt idx="9">
                  <v>10</v>
                </pt>
                <pt idx="10">
                  <v>11</v>
                </pt>
                <pt idx="11">
                  <v>12</v>
                </pt>
                <pt idx="12">
                  <v>13</v>
                </pt>
                <pt idx="13">
                  <v>14</v>
                </pt>
                <pt idx="14">
                  <v>15</v>
                </pt>
                <pt idx="15">
                  <v>16</v>
                </pt>
                <pt idx="16">
                  <v>17</v>
                </pt>
                <pt idx="17">
                  <v>18</v>
                </pt>
                <pt idx="18">
                  <v>19</v>
                </pt>
                <pt idx="19">
                  <v>20</v>
                </pt>
                <pt idx="20">
                  <v>21</v>
                </pt>
                <pt idx="21">
                  <v>22</v>
                </pt>
                <pt idx="22">
                  <v>23</v>
                </pt>
                <pt idx="23">
                  <v>24</v>
                </pt>
                <pt idx="24">
                  <v>25</v>
                </pt>
                <pt idx="25">
                  <v>26</v>
                </pt>
                <pt idx="26">
                  <v>27</v>
                </pt>
                <pt idx="27">
                  <v>28</v>
                </pt>
                <pt idx="28">
                  <v>29</v>
                </pt>
                <pt idx="29">
                  <v>30</v>
                </pt>
              </numCache>
            </numRef>
          </cat>
          <val>
            <numRef>
              <f>Měření!$B$2:$B$31</f>
              <numCache>
                <formatCode>#,##0</formatCode>
                <ptCount val="30"/>
                <pt idx="0">
                  <v>59650</v>
                </pt>
                <pt idx="1">
                  <v>172420</v>
                </pt>
                <pt idx="2">
                  <v>222937</v>
                </pt>
                <pt idx="3">
                  <v>360797</v>
                </pt>
                <pt idx="4">
                  <v>642760</v>
                </pt>
                <pt idx="5">
                  <v>1326866</v>
                </pt>
                <pt idx="6">
                  <v>2145938</v>
                </pt>
                <pt idx="7">
                  <formatCode>General</formatCode>
                  <v>6034660</v>
                </pt>
                <pt idx="8">
                  <v>7250530</v>
                </pt>
              </numCache>
            </numRef>
          </val>
          <smooth val="1"/>
        </ser>
        <ser>
          <idx val="1"/>
          <order val="1"/>
          <tx>
            <strRef>
              <f>Měření!$D$1</f>
              <strCache>
                <ptCount val="1"/>
                <pt idx="0">
                  <v>doporučená mez</v>
                </pt>
              </strCache>
            </strRef>
          </tx>
          <spPr>
            <a:ln xmlns:a="http://schemas.openxmlformats.org/drawingml/2006/main" w="25000">
              <a:solidFill>
                <a:srgbClr val="C65911"/>
              </a:solidFill>
              <a:prstDash val="solid"/>
            </a:ln>
          </spPr>
          <marker>
            <symbol val="none"/>
            <spPr>
              <a:ln xmlns:a="http://schemas.openxmlformats.org/drawingml/2006/main">
                <a:prstDash val="solid"/>
              </a:ln>
            </spPr>
          </marker>
          <cat>
            <numRef>
              <f>Měření!$A$2:$A$31</f>
              <numCache>
                <formatCode>General</formatCode>
                <ptCount val="30"/>
                <pt idx="0">
                  <v>1</v>
                </pt>
                <pt idx="1">
                  <v>2</v>
                </pt>
                <pt idx="2">
                  <v>3</v>
                </pt>
                <pt idx="3">
                  <v>4</v>
                </pt>
                <pt idx="4">
                  <v>5</v>
                </pt>
                <pt idx="5">
                  <v>6</v>
                </pt>
                <pt idx="6">
                  <v>7</v>
                </pt>
                <pt idx="7">
                  <v>8</v>
                </pt>
                <pt idx="8">
                  <v>9</v>
                </pt>
                <pt idx="9">
                  <v>10</v>
                </pt>
                <pt idx="10">
                  <v>11</v>
                </pt>
                <pt idx="11">
                  <v>12</v>
                </pt>
                <pt idx="12">
                  <v>13</v>
                </pt>
                <pt idx="13">
                  <v>14</v>
                </pt>
                <pt idx="14">
                  <v>15</v>
                </pt>
                <pt idx="15">
                  <v>16</v>
                </pt>
                <pt idx="16">
                  <v>17</v>
                </pt>
                <pt idx="17">
                  <v>18</v>
                </pt>
                <pt idx="18">
                  <v>19</v>
                </pt>
                <pt idx="19">
                  <v>20</v>
                </pt>
                <pt idx="20">
                  <v>21</v>
                </pt>
                <pt idx="21">
                  <v>22</v>
                </pt>
                <pt idx="22">
                  <v>23</v>
                </pt>
                <pt idx="23">
                  <v>24</v>
                </pt>
                <pt idx="24">
                  <v>25</v>
                </pt>
                <pt idx="25">
                  <v>26</v>
                </pt>
                <pt idx="26">
                  <v>27</v>
                </pt>
                <pt idx="27">
                  <v>28</v>
                </pt>
                <pt idx="28">
                  <v>29</v>
                </pt>
                <pt idx="29">
                  <v>30</v>
                </pt>
              </numCache>
            </numRef>
          </cat>
          <val>
            <numRef>
              <f>Měření!$D$2:$D$31</f>
            </numRef>
          </val>
          <smooth val="1"/>
        </ser>
        <ser>
          <idx val="2"/>
          <order val="2"/>
          <tx>
            <strRef>
              <f>Měření!$E$1</f>
              <strCache>
                <ptCount val="1"/>
                <pt idx="0">
                  <v>práh obsazeno</v>
                </pt>
              </strCache>
            </strRef>
          </tx>
          <spPr>
            <a:ln xmlns:a="http://schemas.openxmlformats.org/drawingml/2006/main" w="25000">
              <a:solidFill>
                <a:srgbClr val="7F7F7F"/>
              </a:solidFill>
              <a:prstDash val="dash"/>
            </a:ln>
          </spPr>
          <marker>
            <symbol val="none"/>
            <spPr>
              <a:ln xmlns:a="http://schemas.openxmlformats.org/drawingml/2006/main">
                <a:prstDash val="solid"/>
              </a:ln>
            </spPr>
          </marker>
          <cat>
            <numRef>
              <f>Měření!$A$2:$A$31</f>
              <numCache>
                <formatCode>General</formatCode>
                <ptCount val="30"/>
                <pt idx="0">
                  <v>1</v>
                </pt>
                <pt idx="1">
                  <v>2</v>
                </pt>
                <pt idx="2">
                  <v>3</v>
                </pt>
                <pt idx="3">
                  <v>4</v>
                </pt>
                <pt idx="4">
                  <v>5</v>
                </pt>
                <pt idx="5">
                  <v>6</v>
                </pt>
                <pt idx="6">
                  <v>7</v>
                </pt>
                <pt idx="7">
                  <v>8</v>
                </pt>
                <pt idx="8">
                  <v>9</v>
                </pt>
                <pt idx="9">
                  <v>10</v>
                </pt>
                <pt idx="10">
                  <v>11</v>
                </pt>
                <pt idx="11">
                  <v>12</v>
                </pt>
                <pt idx="12">
                  <v>13</v>
                </pt>
                <pt idx="13">
                  <v>14</v>
                </pt>
                <pt idx="14">
                  <v>15</v>
                </pt>
                <pt idx="15">
                  <v>16</v>
                </pt>
                <pt idx="16">
                  <v>17</v>
                </pt>
                <pt idx="17">
                  <v>18</v>
                </pt>
                <pt idx="18">
                  <v>19</v>
                </pt>
                <pt idx="19">
                  <v>20</v>
                </pt>
                <pt idx="20">
                  <v>21</v>
                </pt>
                <pt idx="21">
                  <v>22</v>
                </pt>
                <pt idx="22">
                  <v>23</v>
                </pt>
                <pt idx="23">
                  <v>24</v>
                </pt>
                <pt idx="24">
                  <v>25</v>
                </pt>
                <pt idx="25">
                  <v>26</v>
                </pt>
                <pt idx="26">
                  <v>27</v>
                </pt>
                <pt idx="27">
                  <v>28</v>
                </pt>
                <pt idx="28">
                  <v>29</v>
                </pt>
                <pt idx="29">
                  <v>30</v>
                </pt>
              </numCache>
            </numRef>
          </cat>
          <val>
            <numRef>
              <f>Měření!$E$2:$E$31</f>
            </numRef>
          </val>
          <smooth val="1"/>
        </ser>
        <ser>
          <idx val="3"/>
          <order val="3"/>
          <tx>
            <strRef>
              <f>Měření!$F$1</f>
              <strCache>
                <ptCount val="1"/>
                <pt idx="0">
                  <v>šum desky</v>
                </pt>
              </strCache>
            </strRef>
          </tx>
          <spPr>
            <a:ln xmlns:a="http://schemas.openxmlformats.org/drawingml/2006/main" w="25000">
              <a:solidFill>
                <a:srgbClr val="BFBFBF"/>
              </a:solidFill>
              <a:prstDash val="dash"/>
            </a:ln>
          </spPr>
          <marker>
            <symbol val="none"/>
            <spPr>
              <a:ln xmlns:a="http://schemas.openxmlformats.org/drawingml/2006/main">
                <a:prstDash val="solid"/>
              </a:ln>
            </spPr>
          </marker>
          <cat>
            <numRef>
              <f>Měření!$A$2:$A$31</f>
              <numCache>
                <formatCode>General</formatCode>
                <ptCount val="30"/>
                <pt idx="0">
                  <v>1</v>
                </pt>
                <pt idx="1">
                  <v>2</v>
                </pt>
                <pt idx="2">
                  <v>3</v>
                </pt>
                <pt idx="3">
                  <v>4</v>
                </pt>
                <pt idx="4">
                  <v>5</v>
                </pt>
                <pt idx="5">
                  <v>6</v>
                </pt>
                <pt idx="6">
                  <v>7</v>
                </pt>
                <pt idx="7">
                  <v>8</v>
                </pt>
                <pt idx="8">
                  <v>9</v>
                </pt>
                <pt idx="9">
                  <v>10</v>
                </pt>
                <pt idx="10">
                  <v>11</v>
                </pt>
                <pt idx="11">
                  <v>12</v>
                </pt>
                <pt idx="12">
                  <v>13</v>
                </pt>
                <pt idx="13">
                  <v>14</v>
                </pt>
                <pt idx="14">
                  <v>15</v>
                </pt>
                <pt idx="15">
                  <v>16</v>
                </pt>
                <pt idx="16">
                  <v>17</v>
                </pt>
                <pt idx="17">
                  <v>18</v>
                </pt>
                <pt idx="18">
                  <v>19</v>
                </pt>
                <pt idx="19">
                  <v>20</v>
                </pt>
                <pt idx="20">
                  <v>21</v>
                </pt>
                <pt idx="21">
                  <v>22</v>
                </pt>
                <pt idx="22">
                  <v>23</v>
                </pt>
                <pt idx="23">
                  <v>24</v>
                </pt>
                <pt idx="24">
                  <v>25</v>
                </pt>
                <pt idx="25">
                  <v>26</v>
                </pt>
                <pt idx="26">
                  <v>27</v>
                </pt>
                <pt idx="27">
                  <v>28</v>
                </pt>
                <pt idx="28">
                  <v>29</v>
                </pt>
                <pt idx="29">
                  <v>30</v>
                </pt>
              </numCache>
            </numRef>
          </cat>
          <val>
            <numRef>
              <f>Měření!$F$2:$F$31</f>
            </numRef>
          </val>
          <smooth val="1"/>
        </ser>
        <dLbls>
          <showLegendKey val="0"/>
          <showVal val="0"/>
          <showCatName val="0"/>
          <showSerName val="0"/>
          <showPercent val="0"/>
          <showBubbleSize val="0"/>
        </dLbls>
        <marker val="1"/>
        <smooth val="0"/>
        <axId val="10"/>
        <axId val="100"/>
      </lineChart>
      <catAx>
        <axId val="10"/>
        <scaling>
          <orientation val="minMax"/>
        </scaling>
        <delete val="1"/>
        <axPos val="b"/>
        <title>
          <tx>
            <rich>
              <a:bodyPr xmlns:a="http://schemas.openxmlformats.org/drawingml/2006/main"/>
              <a:lstStyle xmlns:a="http://schemas.openxmlformats.org/drawingml/2006/main"/>
              <a:p xmlns:a="http://schemas.openxmlformats.org/drawingml/2006/main">
                <a:pPr>
                  <a:defRPr/>
                </a:pPr>
                <a:r>
                  <a:rPr lang="cs-CZ"/>
                  <a:t>magnet</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min val="0"/>
        </scaling>
        <delete val="1"/>
        <axPos val="l"/>
        <majorGridlines/>
        <title>
          <tx>
            <rich>
              <a:bodyPr xmlns:a="http://schemas.openxmlformats.org/drawingml/2006/main"/>
              <a:lstStyle xmlns:a="http://schemas.openxmlformats.org/drawingml/2006/main"/>
              <a:p xmlns:a="http://schemas.openxmlformats.org/drawingml/2006/main">
                <a:pPr>
                  <a:defRPr/>
                </a:pPr>
                <a:r>
                  <a:rPr lang="cs-CZ"/>
                  <a:t>energie</a:t>
                </a:r>
              </a:p>
            </rich>
          </tx>
          <overlay val="1"/>
        </title>
        <numFmt formatCode="#,##0" sourceLinked="1"/>
        <majorTickMark val="none"/>
        <minorTickMark val="none"/>
        <tickLblPos val="nextTo"/>
        <crossAx val="10"/>
        <crosses val="min"/>
        <crossBetween val="between"/>
      </valAx>
    </plotArea>
    <legend>
      <legendPos val="r"/>
      <overlay val="0"/>
    </legend>
    <plotVisOnly val="1"/>
    <dispBlanksAs val="gap"/>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t>Co senzor přečte: minimum, mez, strop</a:t>
            </a:r>
          </a:p>
        </rich>
      </tx>
      <overlay val="1"/>
    </title>
    <plotArea>
      <layout/>
      <barChart>
        <barDir val="col"/>
        <grouping val="clustered"/>
        <varyColors val="1"/>
        <ser>
          <idx val="0"/>
          <order val="0"/>
          <tx>
            <strRef>
              <f>Limity!$B$3</f>
              <strCache>
                <ptCount val="1"/>
                <pt idx="0">
                  <v>Energie</v>
                </pt>
              </strCache>
            </strRef>
          </tx>
          <spPr>
            <a:solidFill xmlns:a="http://schemas.openxmlformats.org/drawingml/2006/main">
              <a:srgbClr val="1F4E79"/>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Limity!$A$4:$A$9</f>
              <strCache>
                <ptCount val="6"/>
                <pt idx="0">
                  <v>Minimum senzoru</v>
                </pt>
                <pt idx="1">
                  <v>Šum, který firmware ignoruje</v>
                </pt>
                <pt idx="2">
                  <v>Práh „obsazeno“</v>
                </pt>
                <pt idx="3">
                  <v>Doporučené minimum magnetu</v>
                </pt>
                <pt idx="4">
                  <v>Lineární strop DRV5055A1</v>
                </pt>
                <pt idx="5">
                  <v>Strop ADC</v>
                </pt>
              </strCache>
            </strRef>
          </cat>
          <val>
            <numRef>
              <f>Limity!$B$4:$B$9</f>
              <numCache>
                <formatCode>#,##0</formatCode>
                <ptCount val="6"/>
                <pt idx="0">
                  <v>0</v>
                </pt>
                <pt idx="1">
                  <v>15000</v>
                </pt>
                <pt idx="2">
                  <v>72900</v>
                </pt>
                <pt idx="3">
                  <v>150000</v>
                </pt>
                <pt idx="4">
                  <v>5916800</v>
                </pt>
                <pt idx="5">
                  <v>8388608</v>
                </pt>
              </numCache>
            </numRef>
          </val>
        </ser>
        <dLbls>
          <showLegendKey val="1"/>
          <showVal val="1"/>
          <showCatName val="1"/>
          <showSerName val="1"/>
          <showPercent val="1"/>
          <showBubbleSize val="1"/>
        </dLbls>
        <gapWidth val="150"/>
        <axId val="10"/>
        <axId val="100"/>
      </barChart>
      <catAx>
        <axId val="10"/>
        <scaling>
          <orientation val="minMax"/>
        </scaling>
        <delete val="1"/>
        <axPos val="b"/>
        <numFmt formatCode="General" sourceLinked="1"/>
        <majorTickMark val="none"/>
        <minorTickMark val="none"/>
        <tickLblPos val="nextTo"/>
        <crossAx val="100"/>
        <crosses val="autoZero"/>
        <auto val="1"/>
        <lblAlgn val="ctr"/>
        <lblOffset val="100"/>
        <noMultiLvlLbl val="1"/>
      </catAx>
      <valAx>
        <axId val="100"/>
        <scaling>
          <orientation val="minMax"/>
          <max val="9000000"/>
          <min val="0"/>
        </scaling>
        <delete val="1"/>
        <axPos val="l"/>
        <majorGridlines/>
        <title>
          <tx>
            <rich>
              <a:bodyPr xmlns:a="http://schemas.openxmlformats.org/drawingml/2006/main"/>
              <a:lstStyle xmlns:a="http://schemas.openxmlformats.org/drawingml/2006/main"/>
              <a:p xmlns:a="http://schemas.openxmlformats.org/drawingml/2006/main">
                <a:pPr>
                  <a:defRPr/>
                </a:pPr>
                <a:r>
                  <a:t>energie</a:t>
                </a:r>
              </a:p>
            </rich>
          </tx>
          <overlay val="1"/>
        </title>
        <numFmt formatCode="#,##0" sourceLinked="1"/>
        <majorTickMark val="none"/>
        <minorTickMark val="none"/>
        <tickLblPos val="nextTo"/>
        <crossAx val="10"/>
        <crosses val="autoZero"/>
        <crossBetween val="between"/>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0</col>
      <colOff>0</colOff>
      <row>20</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34</row>
      <rowOff>0</rowOff>
    </from>
    <ext cx="792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21</row>
      <rowOff>0</rowOff>
    </from>
    <ext cx="792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nimagnet.cz/neodymovy-magnet-kotouc-10-mm-v-1-mm-sila-500-g_z42/" TargetMode="External" Id="rId1"/><Relationship Type="http://schemas.openxmlformats.org/officeDocument/2006/relationships/hyperlink" Target="https://www.unimagnet.cz/neodymovy-magnet-kotouc-10-mm-v-2-mm-sila-1-3-kg_z56/" TargetMode="External" Id="rId2"/><Relationship Type="http://schemas.openxmlformats.org/officeDocument/2006/relationships/hyperlink" Target="https://www.unimagnet.cz/neodymovy-magnet-kotouc-10-mm-v-3-mm-sila-1-8-kg_z113/" TargetMode="External" Id="rId3"/><Relationship Type="http://schemas.openxmlformats.org/officeDocument/2006/relationships/hyperlink" Target="https://www.unimagnet.cz/neodymovy-magnet-kotouc-10-mm-v-5-mm-sila-2-7-kg_z243/" TargetMode="External" Id="rId4"/><Relationship Type="http://schemas.openxmlformats.org/officeDocument/2006/relationships/hyperlink" Target="https://www.unimagnet.cz/neodymovy-magnet-kotouc-10-mm-v-8-mm-sila-3-7-kg_z331/" TargetMode="External" Id="rId5"/><Relationship Type="http://schemas.openxmlformats.org/officeDocument/2006/relationships/hyperlink" Target="https://www.unimagnet.cz/neodymovy-magnet-kotouc-12-mm-v-6-mm-sila-4-5-kg_z45/" TargetMode="External" Id="rId6"/><Relationship Type="http://schemas.openxmlformats.org/officeDocument/2006/relationships/drawing" Target="/xl/drawings/drawing1.xml" Id="rId7"/></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1"/>
  </sheetPr>
  <dimension ref="A1:J19"/>
  <sheetViews>
    <sheetView showGridLines="0" view="normal" workbookViewId="0">
      <pane ySplit="4" topLeftCell="A5" activePane="bottomLeft" state="frozen"/>
      <selection pane="bottomLeft" activeCell="A1" sqref="A1"/>
    </sheetView>
  </sheetViews>
  <sheetFormatPr baseColWidth="8" defaultRowHeight="15"/>
  <cols>
    <col width="22" customWidth="1" style="13" min="1" max="1"/>
    <col width="36" customWidth="1" style="13" min="2" max="2"/>
    <col width="16" customWidth="1" style="13" min="3" max="3"/>
    <col width="16" customWidth="1" style="13" min="4" max="4"/>
    <col width="16" customWidth="1" style="13" min="5" max="5"/>
    <col width="22" customWidth="1" style="13" min="6" max="6"/>
    <col width="62" customWidth="1" style="13" min="7" max="7"/>
    <col width="28" customWidth="1" style="13" min="8" max="8"/>
    <col width="10" customWidth="1" style="13" min="9" max="9"/>
    <col width="78" customWidth="1" style="13" min="10" max="10"/>
  </cols>
  <sheetData>
    <row r="1">
      <c r="A1" s="17" t="inlineStr">
        <is>
          <t>Figury z naměřených magnetů</t>
        </is>
      </c>
    </row>
    <row r="2" ht="32" customHeight="1" s="13">
      <c r="A2" s="18" t="inlineStr">
        <is>
          <t>Energie bere vzorce z listu Měření. Pásma jsou geometrický střed mezi sousedy. Král je žlutá buňka: až vložíš číslo, doplní se horní mez dámy.</t>
        </is>
      </c>
    </row>
    <row r="4" ht="30" customHeight="1" s="13">
      <c r="A4" s="19" t="inlineStr">
        <is>
          <t>Typ</t>
        </is>
      </c>
      <c r="B4" s="19" t="inlineStr">
        <is>
          <t>Sestava</t>
        </is>
      </c>
      <c r="C4" s="19" t="inlineStr">
        <is>
          <t>Energie</t>
        </is>
      </c>
      <c r="D4" s="19" t="inlineStr">
        <is>
          <t>Pásmo od</t>
        </is>
      </c>
      <c r="E4" s="19" t="inlineStr">
        <is>
          <t>Pásmo do</t>
        </is>
      </c>
      <c r="F4" s="19" t="inlineStr">
        <is>
          <t>Poměr k předchozí</t>
        </is>
      </c>
      <c r="G4" s="19" t="inlineStr">
        <is>
          <t>Poznámka</t>
        </is>
      </c>
      <c r="H4" s="19" t="inlineStr">
        <is>
          <t>Kotouč</t>
        </is>
      </c>
      <c r="I4" s="19" t="inlineStr">
        <is>
          <t>Kusů</t>
        </is>
      </c>
      <c r="J4" s="19" t="inlineStr">
        <is>
          <t>Odkaz</t>
        </is>
      </c>
    </row>
    <row r="5" ht="36" customHeight="1" s="13">
      <c r="A5" s="20" t="inlineStr">
        <is>
          <t>pěšec</t>
        </is>
      </c>
      <c r="B5" s="21" t="inlineStr">
        <is>
          <t>1× o trochu větší</t>
        </is>
      </c>
      <c r="C5" s="22">
        <f>'Měření'!B3</f>
        <v/>
      </c>
      <c r="D5" s="22" t="n">
        <v>100000</v>
      </c>
      <c r="E5" s="22">
        <f>ROUND(SQRT(C5*C6),0)</f>
        <v/>
      </c>
      <c r="F5" s="23" t="inlineStr">
        <is>
          <t>—</t>
        </is>
      </c>
      <c r="G5" s="21" t="inlineStr">
        <is>
          <t>Nejnižší spolehlivá sestava.</t>
        </is>
      </c>
      <c r="H5" s="31" t="inlineStr">
        <is>
          <t>Ø 10×1 mm, N42, 500 g</t>
        </is>
      </c>
      <c r="I5" s="32" t="n">
        <v>16</v>
      </c>
      <c r="J5" s="33" t="inlineStr">
        <is>
          <t>https://www.unimagnet.cz/neodymovy-magnet-kotouc-10-mm-v-1-mm-sila-500-g_z42/</t>
        </is>
      </c>
    </row>
    <row r="6" ht="36" customHeight="1" s="13">
      <c r="A6" s="20" t="inlineStr">
        <is>
          <t>jezdec</t>
        </is>
      </c>
      <c r="B6" s="21" t="inlineStr">
        <is>
          <t>tenký + 1× o trochu větší</t>
        </is>
      </c>
      <c r="C6" s="22">
        <f>'Měření'!B5</f>
        <v/>
      </c>
      <c r="D6" s="22">
        <f>E5+1</f>
        <v/>
      </c>
      <c r="E6" s="22">
        <f>ROUND(SQRT(C6*C7),0)</f>
        <v/>
      </c>
      <c r="F6" s="23">
        <f>C6/C5</f>
        <v/>
      </c>
      <c r="G6" s="21" t="inlineStr">
        <is>
          <t>2,09× nad pěšcem.</t>
        </is>
      </c>
      <c r="H6" s="31" t="inlineStr">
        <is>
          <t>Ø 10×2 mm, N42, 1,3 kg</t>
        </is>
      </c>
      <c r="I6" s="32" t="n">
        <v>4</v>
      </c>
      <c r="J6" s="33" t="inlineStr">
        <is>
          <t>https://www.unimagnet.cz/neodymovy-magnet-kotouc-10-mm-v-2-mm-sila-1-3-kg_z56/</t>
        </is>
      </c>
    </row>
    <row r="7" ht="36" customHeight="1" s="13">
      <c r="A7" s="20" t="inlineStr">
        <is>
          <t>střelec</t>
        </is>
      </c>
      <c r="B7" s="21" t="inlineStr">
        <is>
          <t>2× o trochu větší</t>
        </is>
      </c>
      <c r="C7" s="22">
        <f>'Měření'!B6</f>
        <v/>
      </c>
      <c r="D7" s="22">
        <f>E6+1</f>
        <v/>
      </c>
      <c r="E7" s="22">
        <f>ROUND(SQRT(C7*C8),0)</f>
        <v/>
      </c>
      <c r="F7" s="23">
        <f>C7/C6</f>
        <v/>
      </c>
      <c r="G7" s="21" t="inlineStr">
        <is>
          <t>1,78× nad jezdcem. Těsné, při ±30 % ještě těsně drží.</t>
        </is>
      </c>
      <c r="H7" s="31" t="inlineStr">
        <is>
          <t>Ø 10×3 mm, N42, 1,8 kg</t>
        </is>
      </c>
      <c r="I7" s="32" t="n">
        <v>4</v>
      </c>
      <c r="J7" s="33" t="inlineStr">
        <is>
          <t>https://www.unimagnet.cz/neodymovy-magnet-kotouc-10-mm-v-3-mm-sila-1-8-kg_z113/</t>
        </is>
      </c>
    </row>
    <row r="8" ht="36" customHeight="1" s="13">
      <c r="A8" s="20" t="inlineStr">
        <is>
          <t>věž</t>
        </is>
      </c>
      <c r="B8" s="21" t="inlineStr">
        <is>
          <t>3× o trochu větší</t>
        </is>
      </c>
      <c r="C8" s="22">
        <f>'Měření'!B7</f>
        <v/>
      </c>
      <c r="D8" s="22">
        <f>E7+1</f>
        <v/>
      </c>
      <c r="E8" s="22">
        <f>ROUND(SQRT(C8*C9),0)</f>
        <v/>
      </c>
      <c r="F8" s="23">
        <f>C8/C7</f>
        <v/>
      </c>
      <c r="G8" s="21" t="inlineStr">
        <is>
          <t>2,06× nad střelcem.</t>
        </is>
      </c>
      <c r="H8" s="31" t="inlineStr">
        <is>
          <t>Ø 10×5 mm, N38, 2,7 kg</t>
        </is>
      </c>
      <c r="I8" s="32" t="n">
        <v>4</v>
      </c>
      <c r="J8" s="33" t="inlineStr">
        <is>
          <t>https://www.unimagnet.cz/neodymovy-magnet-kotouc-10-mm-v-5-mm-sila-2-7-kg_z243/</t>
        </is>
      </c>
    </row>
    <row r="9" ht="36" customHeight="1" s="13">
      <c r="A9" s="24" t="inlineStr">
        <is>
          <t>dáma</t>
        </is>
      </c>
      <c r="B9" s="21" t="inlineStr">
        <is>
          <t>4× o trochu větší</t>
        </is>
      </c>
      <c r="C9" s="22">
        <f>'Měření'!B8</f>
        <v/>
      </c>
      <c r="D9" s="22">
        <f>E8+1</f>
        <v/>
      </c>
      <c r="E9" s="22">
        <f>IF(C10="","",ROUND(SQRT(C9*C10),0))</f>
        <v/>
      </c>
      <c r="F9" s="23">
        <f>C9/C8</f>
        <v/>
      </c>
      <c r="G9" s="21" t="inlineStr">
        <is>
          <t>1,62× nad věží. Při rozptylu nad ±25 % se s věží sleje. Horní mez se doplní po králi.</t>
        </is>
      </c>
      <c r="H9" s="31" t="inlineStr">
        <is>
          <t>Ø 10×8 mm, N42, 3,7 kg</t>
        </is>
      </c>
      <c r="I9" s="32" t="n">
        <v>2</v>
      </c>
      <c r="J9" s="33" t="inlineStr">
        <is>
          <t>https://www.unimagnet.cz/neodymovy-magnet-kotouc-10-mm-v-8-mm-sila-3-7-kg_z331/</t>
        </is>
      </c>
    </row>
    <row r="10" ht="36" customHeight="1" s="13">
      <c r="A10" s="25" t="inlineStr">
        <is>
          <t>král</t>
        </is>
      </c>
      <c r="B10" s="21" t="inlineStr">
        <is>
          <t>6× o trochu větší + nejtenčí</t>
        </is>
      </c>
      <c r="C10" s="26" t="n"/>
      <c r="D10" s="22">
        <f>IF(E9="","",E9+1)</f>
        <v/>
      </c>
      <c r="E10" s="22" t="n">
        <v>5500000</v>
      </c>
      <c r="F10" s="23">
        <f>IF(C10="","",C10/C9)</f>
        <v/>
      </c>
      <c r="G10" s="21" t="inlineStr">
        <is>
          <t>Sem vlož číslo z terminálu. Odhad 4,2–5,0 milionu, cíl nad 3 700 000 a pod 5,5 milionu.</t>
        </is>
      </c>
      <c r="H10" s="31" t="inlineStr">
        <is>
          <t>Ø 12×6 mm, N42, 4,5 kg</t>
        </is>
      </c>
      <c r="I10" s="32" t="n">
        <v>2</v>
      </c>
      <c r="J10" s="33" t="inlineStr">
        <is>
          <t>https://www.unimagnet.cz/neodymovy-magnet-kotouc-12-mm-v-6-mm-sila-4-5-kg_z45/</t>
        </is>
      </c>
    </row>
    <row r="12">
      <c r="A12" s="27" t="inlineStr">
        <is>
          <t>Nepoužívat</t>
        </is>
      </c>
    </row>
    <row r="13">
      <c r="A13" s="28" t="inlineStr">
        <is>
          <t>Sestava</t>
        </is>
      </c>
      <c r="B13" s="28" t="inlineStr">
        <is>
          <t>Energie</t>
        </is>
      </c>
      <c r="C13" s="28" t="inlineStr">
        <is>
          <t>Proč</t>
        </is>
      </c>
    </row>
    <row r="14" ht="32" customHeight="1" s="13">
      <c r="A14" s="29" t="inlineStr">
        <is>
          <t>nejmenší tenký</t>
        </is>
      </c>
      <c r="B14" s="22">
        <f>'Měření'!B2</f>
        <v/>
      </c>
      <c r="C14" s="21" t="inlineStr">
        <is>
          <t>59 650 je pod prahem obsazeno 72 900. Samostatná figura z něj nebude. Smí jen jako přívažek krále.</t>
        </is>
      </c>
      <c r="D14" s="34" t="n"/>
      <c r="E14" s="34" t="n"/>
      <c r="F14" s="34" t="n"/>
      <c r="G14" s="35" t="n"/>
    </row>
    <row r="15" ht="32" customHeight="1" s="13">
      <c r="A15" s="29" t="inlineStr">
        <is>
          <t>dva nejtenčí</t>
        </is>
      </c>
      <c r="B15" s="22">
        <f>'Měření'!B4</f>
        <v/>
      </c>
      <c r="C15" s="21" t="inlineStr">
        <is>
          <t>222 937 je jen 1,29× nad pěšcem (172 420). Pásma se při položení slijí.</t>
        </is>
      </c>
      <c r="D15" s="34" t="n"/>
      <c r="E15" s="34" t="n"/>
      <c r="F15" s="34" t="n"/>
      <c r="G15" s="35" t="n"/>
    </row>
    <row r="16" ht="32" customHeight="1" s="13">
      <c r="A16" s="29" t="inlineStr">
        <is>
          <t>druhý největší</t>
        </is>
      </c>
      <c r="B16" s="22">
        <f>'Měření'!B9</f>
        <v/>
      </c>
      <c r="C16" s="21" t="inlineStr">
        <is>
          <t>6,03 milionu je za lineárním stropem senzoru 5,92 milionu. Číslo už neroste s magnetem.</t>
        </is>
      </c>
      <c r="D16" s="34" t="n"/>
      <c r="E16" s="34" t="n"/>
      <c r="F16" s="34" t="n"/>
      <c r="G16" s="35" t="n"/>
    </row>
    <row r="17" ht="32" customHeight="1" s="13">
      <c r="A17" s="29" t="inlineStr">
        <is>
          <t>největší</t>
        </is>
      </c>
      <c r="B17" s="22">
        <f>'Měření'!B10</f>
        <v/>
      </c>
      <c r="C17" s="21" t="inlineStr">
        <is>
          <t>7,25 milionu je skoro na stropu ADC 8,39 milionu a od druhého největšího ho dělí jen 1,2×.</t>
        </is>
      </c>
      <c r="D17" s="34" t="n"/>
      <c r="E17" s="34" t="n"/>
      <c r="F17" s="34" t="n"/>
      <c r="G17" s="35" t="n"/>
    </row>
    <row r="19" ht="36" customHeight="1" s="13">
      <c r="A19" s="18" t="inlineStr">
        <is>
          <t>Barva figury je znaménko odchylky, tedy kterou stranou magnet leží. Typ je tahle energie. Stejná sestava musí u všech kopií dané figury vyjít do svého pásma. Do firmware se prahy zapíšou až po čísle krále.</t>
        </is>
      </c>
    </row>
  </sheetData>
  <autoFilter ref="A4:J10"/>
  <mergeCells count="7">
    <mergeCell ref="A1:G1"/>
    <mergeCell ref="C16:G16"/>
    <mergeCell ref="C15:G15"/>
    <mergeCell ref="A2:G2"/>
    <mergeCell ref="C14:G14"/>
    <mergeCell ref="A19:G19"/>
    <mergeCell ref="C17:G17"/>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s>
  <pageMargins left="0.75" right="0.75" top="1" bottom="1" header="0.5" footer="0.5"/>
  <pageSetup orientation="landscape" paperSize="9" fitToHeight="1" fitToWidth="1"/>
  <headerFooter>
    <oddHeader>&amp;LFigury</oddHeader>
    <oddFooter>&amp;Rmagnet_sila.xlsx</oddFooter>
    <evenHeader/>
    <evenFooter/>
    <firstHeader/>
    <firstFooter/>
  </headerFooter>
  <drawing xmlns:r="http://schemas.openxmlformats.org/officeDocument/2006/relationships" r:id="rId7"/>
</worksheet>
</file>

<file path=xl/worksheets/sheet2.xml><?xml version="1.0" encoding="utf-8"?>
<worksheet xmlns="http://schemas.openxmlformats.org/spreadsheetml/2006/main">
  <sheetPr>
    <outlinePr summaryBelow="1" summaryRight="1"/>
    <pageSetUpPr/>
  </sheetPr>
  <dimension ref="A1:F33"/>
  <sheetViews>
    <sheetView showGridLines="0" tabSelected="1" zoomScale="145" zoomScaleNormal="145" workbookViewId="0">
      <pane ySplit="1" topLeftCell="A33" activePane="bottomLeft" state="frozen"/>
      <selection pane="bottomLeft" activeCell="P53" sqref="P53"/>
    </sheetView>
  </sheetViews>
  <sheetFormatPr baseColWidth="8" defaultRowHeight="15"/>
  <cols>
    <col width="8" customWidth="1" style="13" min="1" max="1"/>
    <col width="16" customWidth="1" style="13" min="2" max="2"/>
    <col width="32.5703125" customWidth="1" style="13" min="3" max="3"/>
    <col hidden="1" width="13" customWidth="1" style="13" min="4" max="6"/>
  </cols>
  <sheetData>
    <row r="1">
      <c r="A1" s="1" t="inlineStr">
        <is>
          <t>č.</t>
        </is>
      </c>
      <c r="B1" s="1" t="inlineStr">
        <is>
          <t>energie</t>
        </is>
      </c>
      <c r="C1" s="1" t="inlineStr">
        <is>
          <t>poznámka</t>
        </is>
      </c>
      <c r="D1" s="1" t="inlineStr">
        <is>
          <t>doporučená mez</t>
        </is>
      </c>
      <c r="E1" s="1" t="inlineStr">
        <is>
          <t>práh obsazeno</t>
        </is>
      </c>
      <c r="F1" s="1" t="inlineStr">
        <is>
          <t>šum desky</t>
        </is>
      </c>
    </row>
    <row r="2">
      <c r="A2" s="2" t="n">
        <v>1</v>
      </c>
      <c r="B2" s="3" t="n">
        <v>59650</v>
      </c>
      <c r="C2" s="4" t="inlineStr">
        <is>
          <t>nejmensi tenky</t>
        </is>
      </c>
      <c r="D2" s="5">
        <f>Limity!$B$12</f>
        <v/>
      </c>
      <c r="E2" s="5">
        <f>Limity!$B$6</f>
        <v/>
      </c>
      <c r="F2" s="5">
        <f>Limity!$B$5</f>
        <v/>
      </c>
    </row>
    <row r="3">
      <c r="A3" s="2" t="n">
        <v>2</v>
      </c>
      <c r="B3" s="3" t="n">
        <v>172420</v>
      </c>
      <c r="C3" s="4" t="inlineStr">
        <is>
          <t>o trochu vetsi</t>
        </is>
      </c>
      <c r="D3" s="5">
        <f>Limity!$B$12</f>
        <v/>
      </c>
      <c r="E3" s="5">
        <f>Limity!$B$6</f>
        <v/>
      </c>
      <c r="F3" s="5">
        <f>Limity!$B$5</f>
        <v/>
      </c>
    </row>
    <row r="4">
      <c r="A4" s="2" t="n">
        <v>3</v>
      </c>
      <c r="B4" s="3" t="n">
        <v>222937</v>
      </c>
      <c r="C4" s="4" t="inlineStr">
        <is>
          <t>dva nejtenci</t>
        </is>
      </c>
      <c r="D4" s="5">
        <f>Limity!$B$12</f>
        <v/>
      </c>
      <c r="E4" s="5">
        <f>Limity!$B$6</f>
        <v/>
      </c>
      <c r="F4" s="5">
        <f>Limity!$B$5</f>
        <v/>
      </c>
    </row>
    <row r="5">
      <c r="A5" s="2" t="n">
        <v>4</v>
      </c>
      <c r="B5" s="3" t="n">
        <v>360797</v>
      </c>
      <c r="C5" s="4" t="inlineStr">
        <is>
          <t>nejtenci a ten o trochu vetsi - ne moc</t>
        </is>
      </c>
      <c r="D5" s="5">
        <f>Limity!$B$12</f>
        <v/>
      </c>
      <c r="E5" s="5">
        <f>Limity!$B$6</f>
        <v/>
      </c>
      <c r="F5" s="5">
        <f>Limity!$B$5</f>
        <v/>
      </c>
    </row>
    <row r="6">
      <c r="A6" s="2" t="n">
        <v>5</v>
      </c>
      <c r="B6" s="3" t="n">
        <v>642760</v>
      </c>
      <c r="C6" s="4" t="inlineStr">
        <is>
          <t>2 trochu vetsi</t>
        </is>
      </c>
      <c r="D6" s="5">
        <f>Limity!$B$12</f>
        <v/>
      </c>
      <c r="E6" s="5">
        <f>Limity!$B$6</f>
        <v/>
      </c>
      <c r="F6" s="5">
        <f>Limity!$B$5</f>
        <v/>
      </c>
    </row>
    <row r="7">
      <c r="A7" s="2" t="n">
        <v>6</v>
      </c>
      <c r="B7" s="3" t="n">
        <v>1326866</v>
      </c>
      <c r="C7" s="4" t="inlineStr">
        <is>
          <t>3 trochu vetsi</t>
        </is>
      </c>
      <c r="D7" s="5">
        <f>Limity!$B$12</f>
        <v/>
      </c>
      <c r="E7" s="5">
        <f>Limity!$B$6</f>
        <v/>
      </c>
      <c r="F7" s="5">
        <f>Limity!$B$5</f>
        <v/>
      </c>
    </row>
    <row r="8">
      <c r="A8" s="2" t="n">
        <v>7</v>
      </c>
      <c r="B8" s="3" t="n">
        <v>2145938</v>
      </c>
      <c r="C8" s="4" t="inlineStr">
        <is>
          <t>4 trochu vetsi</t>
        </is>
      </c>
      <c r="D8" s="5">
        <f>Limity!$B$12</f>
        <v/>
      </c>
      <c r="E8" s="5">
        <f>Limity!$B$6</f>
        <v/>
      </c>
      <c r="F8" s="5">
        <f>Limity!$B$5</f>
        <v/>
      </c>
    </row>
    <row r="9">
      <c r="A9" s="2" t="n">
        <v>8</v>
      </c>
      <c r="B9" t="n">
        <v>6034660</v>
      </c>
      <c r="C9" s="16" t="inlineStr">
        <is>
          <t>druhy nejvetsi</t>
        </is>
      </c>
      <c r="D9" s="5">
        <f>Limity!$B$12</f>
        <v/>
      </c>
      <c r="E9" s="5">
        <f>Limity!$B$6</f>
        <v/>
      </c>
      <c r="F9" s="5">
        <f>Limity!$B$5</f>
        <v/>
      </c>
    </row>
    <row r="10">
      <c r="A10" s="2" t="n">
        <v>9</v>
      </c>
      <c r="B10" s="3" t="n">
        <v>7250530</v>
      </c>
      <c r="C10" s="4" t="inlineStr">
        <is>
          <t>nejvetsi</t>
        </is>
      </c>
      <c r="D10" s="5">
        <f>Limity!$B$12</f>
        <v/>
      </c>
      <c r="E10" s="5">
        <f>Limity!$B$6</f>
        <v/>
      </c>
      <c r="F10" s="5">
        <f>Limity!$B$5</f>
        <v/>
      </c>
    </row>
    <row r="11">
      <c r="A11" s="2" t="n">
        <v>10</v>
      </c>
      <c r="B11" s="3" t="n"/>
      <c r="C11" s="4" t="n"/>
      <c r="D11" s="5">
        <f>Limity!$B$12</f>
        <v/>
      </c>
      <c r="E11" s="5">
        <f>Limity!$B$6</f>
        <v/>
      </c>
      <c r="F11" s="5">
        <f>Limity!$B$5</f>
        <v/>
      </c>
    </row>
    <row r="12">
      <c r="A12" s="2" t="n">
        <v>11</v>
      </c>
      <c r="B12" s="3" t="n"/>
      <c r="C12" s="4" t="n"/>
      <c r="D12" s="5">
        <f>Limity!$B$12</f>
        <v/>
      </c>
      <c r="E12" s="5">
        <f>Limity!$B$6</f>
        <v/>
      </c>
      <c r="F12" s="5">
        <f>Limity!$B$5</f>
        <v/>
      </c>
    </row>
    <row r="13">
      <c r="A13" s="2" t="n">
        <v>12</v>
      </c>
      <c r="D13" s="5">
        <f>Limity!$B$12</f>
        <v/>
      </c>
      <c r="E13" s="5">
        <f>Limity!$B$6</f>
        <v/>
      </c>
      <c r="F13" s="5">
        <f>Limity!$B$5</f>
        <v/>
      </c>
    </row>
    <row r="14">
      <c r="A14" s="2" t="n">
        <v>13</v>
      </c>
      <c r="B14" s="3" t="n"/>
      <c r="C14" s="4" t="n"/>
      <c r="D14" s="5">
        <f>Limity!$B$12</f>
        <v/>
      </c>
      <c r="E14" s="5">
        <f>Limity!$B$6</f>
        <v/>
      </c>
      <c r="F14" s="5">
        <f>Limity!$B$5</f>
        <v/>
      </c>
    </row>
    <row r="15">
      <c r="A15" s="2" t="n">
        <v>14</v>
      </c>
      <c r="B15" s="3" t="n"/>
      <c r="C15" s="4" t="n"/>
      <c r="D15" s="5">
        <f>Limity!$B$12</f>
        <v/>
      </c>
      <c r="E15" s="5">
        <f>Limity!$B$6</f>
        <v/>
      </c>
      <c r="F15" s="5">
        <f>Limity!$B$5</f>
        <v/>
      </c>
    </row>
    <row r="16">
      <c r="A16" s="2" t="n">
        <v>15</v>
      </c>
      <c r="B16" s="3" t="n"/>
      <c r="C16" s="4" t="n"/>
      <c r="D16" s="5">
        <f>Limity!$B$12</f>
        <v/>
      </c>
      <c r="E16" s="5">
        <f>Limity!$B$6</f>
        <v/>
      </c>
      <c r="F16" s="5">
        <f>Limity!$B$5</f>
        <v/>
      </c>
    </row>
    <row r="17">
      <c r="A17" s="2" t="n">
        <v>16</v>
      </c>
      <c r="B17" s="3" t="n"/>
      <c r="C17" s="4" t="n"/>
      <c r="D17" s="5">
        <f>Limity!$B$12</f>
        <v/>
      </c>
      <c r="E17" s="5">
        <f>Limity!$B$6</f>
        <v/>
      </c>
      <c r="F17" s="5">
        <f>Limity!$B$5</f>
        <v/>
      </c>
    </row>
    <row r="18">
      <c r="A18" s="2" t="n">
        <v>17</v>
      </c>
      <c r="B18" s="3" t="n"/>
      <c r="C18" s="4" t="n"/>
      <c r="D18" s="5">
        <f>Limity!$B$12</f>
        <v/>
      </c>
      <c r="E18" s="5">
        <f>Limity!$B$6</f>
        <v/>
      </c>
      <c r="F18" s="5">
        <f>Limity!$B$5</f>
        <v/>
      </c>
    </row>
    <row r="19">
      <c r="A19" s="2" t="n">
        <v>18</v>
      </c>
      <c r="B19" s="3" t="n"/>
      <c r="C19" s="4" t="n"/>
      <c r="D19" s="5">
        <f>Limity!$B$12</f>
        <v/>
      </c>
      <c r="E19" s="5">
        <f>Limity!$B$6</f>
        <v/>
      </c>
      <c r="F19" s="5">
        <f>Limity!$B$5</f>
        <v/>
      </c>
    </row>
    <row r="20">
      <c r="A20" s="2" t="n">
        <v>19</v>
      </c>
      <c r="B20" s="3" t="n"/>
      <c r="C20" s="4" t="n"/>
      <c r="D20" s="5">
        <f>Limity!$B$12</f>
        <v/>
      </c>
      <c r="E20" s="5">
        <f>Limity!$B$6</f>
        <v/>
      </c>
      <c r="F20" s="5">
        <f>Limity!$B$5</f>
        <v/>
      </c>
    </row>
    <row r="21">
      <c r="A21" s="2" t="n">
        <v>20</v>
      </c>
      <c r="B21" s="3" t="n"/>
      <c r="C21" s="4" t="n"/>
      <c r="D21" s="5">
        <f>Limity!$B$12</f>
        <v/>
      </c>
      <c r="E21" s="5">
        <f>Limity!$B$6</f>
        <v/>
      </c>
      <c r="F21" s="5">
        <f>Limity!$B$5</f>
        <v/>
      </c>
    </row>
    <row r="22">
      <c r="A22" s="2" t="n">
        <v>21</v>
      </c>
      <c r="B22" s="3" t="n"/>
      <c r="C22" s="4" t="n"/>
      <c r="D22" s="5">
        <f>Limity!$B$12</f>
        <v/>
      </c>
      <c r="E22" s="5">
        <f>Limity!$B$6</f>
        <v/>
      </c>
      <c r="F22" s="5">
        <f>Limity!$B$5</f>
        <v/>
      </c>
    </row>
    <row r="23">
      <c r="A23" s="2" t="n">
        <v>22</v>
      </c>
      <c r="B23" s="3" t="n"/>
      <c r="C23" s="4" t="n"/>
      <c r="D23" s="5">
        <f>Limity!$B$12</f>
        <v/>
      </c>
      <c r="E23" s="5">
        <f>Limity!$B$6</f>
        <v/>
      </c>
      <c r="F23" s="5">
        <f>Limity!$B$5</f>
        <v/>
      </c>
    </row>
    <row r="24">
      <c r="A24" s="2" t="n">
        <v>23</v>
      </c>
      <c r="B24" s="3" t="n"/>
      <c r="C24" s="4" t="n"/>
      <c r="D24" s="5">
        <f>Limity!$B$12</f>
        <v/>
      </c>
      <c r="E24" s="5">
        <f>Limity!$B$6</f>
        <v/>
      </c>
      <c r="F24" s="5">
        <f>Limity!$B$5</f>
        <v/>
      </c>
    </row>
    <row r="25">
      <c r="A25" s="2" t="n">
        <v>24</v>
      </c>
      <c r="B25" s="3" t="n"/>
      <c r="C25" s="4" t="n"/>
      <c r="D25" s="5">
        <f>Limity!$B$12</f>
        <v/>
      </c>
      <c r="E25" s="5">
        <f>Limity!$B$6</f>
        <v/>
      </c>
      <c r="F25" s="5">
        <f>Limity!$B$5</f>
        <v/>
      </c>
    </row>
    <row r="26">
      <c r="A26" s="2" t="n">
        <v>25</v>
      </c>
      <c r="B26" s="3" t="n"/>
      <c r="C26" s="4" t="n"/>
      <c r="D26" s="5">
        <f>Limity!$B$12</f>
        <v/>
      </c>
      <c r="E26" s="5">
        <f>Limity!$B$6</f>
        <v/>
      </c>
      <c r="F26" s="5">
        <f>Limity!$B$5</f>
        <v/>
      </c>
    </row>
    <row r="27">
      <c r="A27" s="2" t="n">
        <v>26</v>
      </c>
      <c r="B27" s="3" t="n"/>
      <c r="C27" s="4" t="n"/>
      <c r="D27" s="5">
        <f>Limity!$B$12</f>
        <v/>
      </c>
      <c r="E27" s="5">
        <f>Limity!$B$6</f>
        <v/>
      </c>
      <c r="F27" s="5">
        <f>Limity!$B$5</f>
        <v/>
      </c>
    </row>
    <row r="28">
      <c r="A28" s="2" t="n">
        <v>27</v>
      </c>
      <c r="B28" s="3" t="n"/>
      <c r="C28" s="4" t="n"/>
      <c r="D28" s="5">
        <f>Limity!$B$12</f>
        <v/>
      </c>
      <c r="E28" s="5">
        <f>Limity!$B$6</f>
        <v/>
      </c>
      <c r="F28" s="5">
        <f>Limity!$B$5</f>
        <v/>
      </c>
    </row>
    <row r="29">
      <c r="A29" s="2" t="n">
        <v>28</v>
      </c>
      <c r="B29" s="3" t="n"/>
      <c r="C29" s="4" t="n"/>
      <c r="D29" s="5">
        <f>Limity!$B$12</f>
        <v/>
      </c>
      <c r="E29" s="5">
        <f>Limity!$B$6</f>
        <v/>
      </c>
      <c r="F29" s="5">
        <f>Limity!$B$5</f>
        <v/>
      </c>
    </row>
    <row r="30">
      <c r="A30" s="2" t="n">
        <v>29</v>
      </c>
      <c r="B30" s="3" t="n"/>
      <c r="C30" s="4" t="n"/>
      <c r="D30" s="5">
        <f>Limity!$B$12</f>
        <v/>
      </c>
      <c r="E30" s="5">
        <f>Limity!$B$6</f>
        <v/>
      </c>
      <c r="F30" s="5">
        <f>Limity!$B$5</f>
        <v/>
      </c>
    </row>
    <row r="31">
      <c r="A31" s="2" t="n">
        <v>30</v>
      </c>
      <c r="B31" s="3" t="n"/>
      <c r="C31" s="4" t="n"/>
      <c r="D31" s="5">
        <f>Limity!$B$12</f>
        <v/>
      </c>
      <c r="E31" s="5">
        <f>Limity!$B$6</f>
        <v/>
      </c>
      <c r="F31" s="5">
        <f>Limity!$B$5</f>
        <v/>
      </c>
    </row>
    <row r="33" ht="32.1" customHeight="1" s="13">
      <c r="A33" s="12" t="inlineStr">
        <is>
          <t>Do žlutého sloupce vlož čísla z terminálu v pořadí, jak je tiskne tlačítko. Prázdný řádek nech prázdný, když magnetů bude míň než 30.</t>
        </is>
      </c>
    </row>
  </sheetData>
  <autoFilter ref="A1:C31"/>
  <mergeCells count="1">
    <mergeCell ref="A33:C33"/>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21"/>
  <sheetViews>
    <sheetView showGridLines="0" workbookViewId="0">
      <selection activeCell="A1" sqref="A1"/>
    </sheetView>
  </sheetViews>
  <sheetFormatPr baseColWidth="8" defaultRowHeight="15"/>
  <cols>
    <col width="42" customWidth="1" style="13" min="1" max="1"/>
    <col width="18" customWidth="1" style="13" min="2" max="2"/>
    <col width="88" customWidth="1" style="13" min="3" max="3"/>
  </cols>
  <sheetData>
    <row r="1" ht="18.75" customHeight="1" s="13">
      <c r="A1" s="15" t="inlineStr">
        <is>
          <t>Rozsah Hall senzoru a mez pro magnet</t>
        </is>
      </c>
    </row>
    <row r="3">
      <c r="A3" s="6" t="inlineStr">
        <is>
          <t>Veličina</t>
        </is>
      </c>
      <c r="B3" s="6" t="inlineStr">
        <is>
          <t>Energie</t>
        </is>
      </c>
      <c r="C3" s="6" t="inlineStr">
        <is>
          <t>Co to znamená</t>
        </is>
      </c>
    </row>
    <row r="4" ht="32.1" customHeight="1" s="13">
      <c r="A4" s="7" t="inlineStr">
        <is>
          <t>Minimum senzoru</t>
        </is>
      </c>
      <c r="B4" s="8" t="n">
        <v>0</v>
      </c>
      <c r="C4" s="7" t="inlineStr">
        <is>
          <t>Prázdné pole po odečtení základny. Níž energie nejde.</t>
        </is>
      </c>
    </row>
    <row r="5" ht="32.1" customHeight="1" s="13">
      <c r="A5" s="7" t="inlineStr">
        <is>
          <t>Šum, který firmware ignoruje</t>
        </is>
      </c>
      <c r="B5" s="8" t="n">
        <v>15000</v>
      </c>
      <c r="C5" s="7" t="inlineStr">
        <is>
          <t>Deadband. Zhruba 1 mT na obou kanálech, nebo klid desky.</t>
        </is>
      </c>
    </row>
    <row r="6" ht="32.1" customHeight="1" s="13">
      <c r="A6" s="7" t="inlineStr">
        <is>
          <t>Práh „obsazeno“</t>
        </is>
      </c>
      <c r="B6" s="8" t="n">
        <v>72900</v>
      </c>
      <c r="C6" s="7" t="inlineStr">
        <is>
          <t>Součet |odchylek| = 270, celá odchylka na jednom senzoru (270²). Pod tím firmware pole nevidí.</t>
        </is>
      </c>
    </row>
    <row r="7" ht="32.1" customHeight="1" s="13">
      <c r="A7" s="7" t="inlineStr">
        <is>
          <t>Doporučené minimum magnetu</t>
        </is>
      </c>
      <c r="B7" s="8" t="n">
        <v>150000</v>
      </c>
      <c r="C7" s="7" t="inlineStr">
        <is>
          <t>Dvojnásobek prahu obsazeno. Park (zemské pole, klíče, telefon dál od desky) je hluboko pod tím.</t>
        </is>
      </c>
    </row>
    <row r="8" ht="32.1" customHeight="1" s="13">
      <c r="A8" s="7" t="inlineStr">
        <is>
          <t>Lineární strop DRV5055A1</t>
        </is>
      </c>
      <c r="B8" s="8" t="n">
        <v>5916800</v>
      </c>
      <c r="C8" s="7" t="inlineStr">
        <is>
          <t>Oba kanály na ±21 mT. Dál už senzor není lineární.</t>
        </is>
      </c>
    </row>
    <row r="9" ht="32.1" customHeight="1" s="13">
      <c r="A9" s="7" t="inlineStr">
        <is>
          <t>Strop ADC</t>
        </is>
      </c>
      <c r="B9" s="8" t="n">
        <v>8388608</v>
      </c>
      <c r="C9" s="7" t="inlineStr">
        <is>
          <t>Oba 12bit kanály na kraji rozsahu (2 × 2048²). Výš firmware číslo nevyrobí.</t>
        </is>
      </c>
    </row>
    <row r="11" ht="32.1" customHeight="1" s="13">
      <c r="A11" s="7" t="inlineStr">
        <is>
          <t>Naměřený šum prázdného pole</t>
        </is>
      </c>
      <c r="B11" s="9" t="n"/>
      <c r="C11" s="7" t="inlineStr">
        <is>
          <t>Volitelné. Jedno stisknutí bez magnetu. Když je větší než 50 000, mez v grafu se zvedne na trojnásobek.</t>
        </is>
      </c>
    </row>
    <row r="12">
      <c r="A12" s="4" t="inlineStr">
        <is>
          <t>Mez použitá v grafu magnetů</t>
        </is>
      </c>
      <c r="B12" s="10">
        <f>MAX(B7,IF(B11="",B7,B11*3))</f>
        <v/>
      </c>
      <c r="C12" s="4" t="inlineStr">
        <is>
          <t>150 000, dokud šum prázdného pole nepřekročí 50 000.</t>
        </is>
      </c>
    </row>
    <row r="14">
      <c r="A14" s="11" t="inlineStr">
        <is>
          <t>Jak vznikla čísla</t>
        </is>
      </c>
    </row>
    <row r="16" ht="36" customHeight="1" s="13">
      <c r="A16" s="14" t="inlineStr">
        <is>
          <t>Na každém poli jsou dva DRV5055A1. STM32 je čte 12bit ADC při 3,3 V. Firmware odečte prázdnou základnu a tiskne energii = odchylka0² + odchylka1².</t>
        </is>
      </c>
    </row>
    <row r="17" ht="36" customHeight="1" s="13">
      <c r="A17" s="14" t="inlineStr">
        <is>
          <t>A1 má při 5 V citlivost 100 mV/mT, při 3,3 V tedy 66 mV/mT. Jeden dílek ADC je asi 0,82 mV, takže 1 mT je zhruba 82 dílků.</t>
        </is>
      </c>
    </row>
    <row r="18" ht="36" customHeight="1" s="13">
      <c r="A18" s="14" t="inlineStr">
        <is>
          <t>Zemské pole v parku je asi 0,05 mT, po základně pár dílků a energie v desítkách. Telefon nebo klíče až u senzoru umí kolem 1 mT (energie zhruba 7–13 tisíc). To ještě neprojde prahem obsazeno.</t>
        </is>
      </c>
    </row>
    <row r="19" ht="36" customHeight="1" s="13">
      <c r="A19" s="14" t="inlineStr">
        <is>
          <t>Skutečná podlaha je šum desky. Firmware pustí pole až když součet absolutních odchylek dosáhne 270. Nejhůř (jeden senzor) je to energie 72 900. Doporučených 150 000 je dvojnásobek, aby magnet zůstal vidět i když se šum a cizí pole sečtou.</t>
        </is>
      </c>
    </row>
    <row r="20" ht="36" customHeight="1" s="13">
      <c r="A20" s="14" t="inlineStr">
        <is>
          <t>Nejmenší magnet, který dává smysl, je ten, jehož číslo z terminálu je nad oranžovou mezí. Cokoli mezi šedou a oranžovou deska občas uvidí a občas ne. Pod šedou to jako figuru nevezme.</t>
        </is>
      </c>
    </row>
    <row r="21">
      <c r="A21" s="30" t="inlineStr">
        <is>
          <t>Rozpis figur, pásem a magnetů, které nepoužít, je na listu Figury.</t>
        </is>
      </c>
    </row>
  </sheetData>
  <mergeCells count="6">
    <mergeCell ref="A19:C19"/>
    <mergeCell ref="A1:C1"/>
    <mergeCell ref="A17:C17"/>
    <mergeCell ref="A18:C18"/>
    <mergeCell ref="A20:C20"/>
    <mergeCell ref="A16:C16"/>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2026-10-17T15:07:45Z</dcterms:created>
  <dcterms:modified xmlns:dcterms="http://purl.org/dc/terms/" xmlns:xsi="http://www.w3.org/2001/XMLSchema-instance" xsi:type="dcterms:W3CDTF">2026-10-17T16:24:56Z</dcterms:modified>
  <cp:lastModifiedBy>Krutina Alfréd</cp:lastModifiedBy>
</cp:coreProperties>
</file>