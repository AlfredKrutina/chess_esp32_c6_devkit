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Programming\Git\chess_esp32_c6_devkit\docs\simulace-magnetu\"/>
    </mc:Choice>
  </mc:AlternateContent>
  <xr:revisionPtr revIDLastSave="0" documentId="13_ncr:1_{0D371F28-DCF6-47E9-8740-412B308C87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Gra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G6" i="1" s="1"/>
  <c r="F5" i="1"/>
  <c r="E5" i="1"/>
  <c r="D5" i="1"/>
  <c r="F4" i="1"/>
  <c r="E4" i="1"/>
  <c r="D4" i="1"/>
  <c r="F3" i="1"/>
  <c r="E3" i="1"/>
  <c r="D3" i="1"/>
  <c r="F2" i="1"/>
  <c r="E2" i="1"/>
  <c r="D2" i="1"/>
  <c r="G2" i="1" s="1"/>
  <c r="G8" i="1" l="1"/>
  <c r="G9" i="1"/>
  <c r="G5" i="1"/>
  <c r="G3" i="1"/>
  <c r="G10" i="1"/>
  <c r="G7" i="1"/>
  <c r="G4" i="1"/>
</calcChain>
</file>

<file path=xl/sharedStrings.xml><?xml version="1.0" encoding="utf-8"?>
<sst xmlns="http://schemas.openxmlformats.org/spreadsheetml/2006/main" count="8" uniqueCount="8">
  <si>
    <t>vzdálenost mm</t>
  </si>
  <si>
    <t>B k ní mT</t>
  </si>
  <si>
    <t>B od ní mT</t>
  </si>
  <si>
    <t>energie mT</t>
  </si>
  <si>
    <t>odchylka k ní %</t>
  </si>
  <si>
    <t>odchylka od ní %</t>
  </si>
  <si>
    <t>odchylka dvou sond %</t>
  </si>
  <si>
    <t>Pěšec, kotouč Ø10×1 mm, Br 1,30 T. Sondy 3,13 mm od osy, 11,2 mm pod čelem magnetu. Nula procent je hodnota téže veličiny ve středu pole. Energie je odmocnina ze součtu čtverců obou sond.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</si>
</sst>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aseline="0">
                <a:latin typeface="Calibri"/>
              </a:defRPr>
            </a:pPr>
            <a:r>
              <a:rPr lang="en-US" sz="1400" baseline="0">
                <a:latin typeface="Calibri"/>
              </a:rPr>
              <a:t>Pěšec: odchylka intenzity pole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jedna sonda, směrem k ní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Data!$A$2:$A$10</c:f>
              <c:numCache>
                <c:formatCode>0.00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xVal>
          <c:yVal>
            <c:numRef>
              <c:f>Data!$E$2:$E$10</c:f>
              <c:numCache>
                <c:formatCode>0.0</c:formatCode>
                <c:ptCount val="9"/>
                <c:pt idx="0">
                  <c:v>0</c:v>
                </c:pt>
                <c:pt idx="1">
                  <c:v>4.5255474452554845</c:v>
                </c:pt>
                <c:pt idx="2">
                  <c:v>8.3211678832116895</c:v>
                </c:pt>
                <c:pt idx="3">
                  <c:v>11.386861313868613</c:v>
                </c:pt>
                <c:pt idx="4">
                  <c:v>13.722627737226279</c:v>
                </c:pt>
                <c:pt idx="5">
                  <c:v>15.182481751824817</c:v>
                </c:pt>
                <c:pt idx="6">
                  <c:v>15.912408759124098</c:v>
                </c:pt>
                <c:pt idx="7">
                  <c:v>15.62043795620438</c:v>
                </c:pt>
                <c:pt idx="8">
                  <c:v>14.598540145985407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74-4A5F-B384-44E567655E31}"/>
            </c:ext>
          </c:extLst>
        </c:ser>
        <c:ser>
          <c:idx val="1"/>
          <c:order val="1"/>
          <c:tx>
            <c:v>jedna sonda, směrem od ní</c:v>
          </c:tx>
          <c:spPr>
            <a:ln w="28575">
              <a:solidFill>
                <a:srgbClr val="6B6B6B"/>
              </a:solidFill>
              <a:prstDash val="dash"/>
            </a:ln>
          </c:spPr>
          <c:marker>
            <c:symbol val="none"/>
          </c:marker>
          <c:xVal>
            <c:numRef>
              <c:f>Data!$A$2:$A$10</c:f>
              <c:numCache>
                <c:formatCode>0.00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xVal>
          <c:yVal>
            <c:numRef>
              <c:f>Data!$F$2:$F$10</c:f>
              <c:numCache>
                <c:formatCode>0.0</c:formatCode>
                <c:ptCount val="9"/>
                <c:pt idx="0">
                  <c:v>0</c:v>
                </c:pt>
                <c:pt idx="1">
                  <c:v>-4.8175182481751788</c:v>
                </c:pt>
                <c:pt idx="2">
                  <c:v>-10.218978102189769</c:v>
                </c:pt>
                <c:pt idx="3">
                  <c:v>-15.912408759124085</c:v>
                </c:pt>
                <c:pt idx="4">
                  <c:v>-21.751824817518241</c:v>
                </c:pt>
                <c:pt idx="5">
                  <c:v>-27.737226277372251</c:v>
                </c:pt>
                <c:pt idx="6">
                  <c:v>-33.722627737226276</c:v>
                </c:pt>
                <c:pt idx="7">
                  <c:v>-39.708029197080286</c:v>
                </c:pt>
                <c:pt idx="8">
                  <c:v>-45.40145985401459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74-4A5F-B384-44E567655E31}"/>
            </c:ext>
          </c:extLst>
        </c:ser>
        <c:ser>
          <c:idx val="2"/>
          <c:order val="2"/>
          <c:tx>
            <c:v>dvě sondy</c:v>
          </c:tx>
          <c:spPr>
            <a:ln w="28575">
              <a:solidFill>
                <a:srgbClr val="1E3A5F"/>
              </a:solidFill>
            </a:ln>
          </c:spPr>
          <c:marker>
            <c:symbol val="none"/>
          </c:marker>
          <c:xVal>
            <c:numRef>
              <c:f>Data!$A$2:$A$10</c:f>
              <c:numCache>
                <c:formatCode>0.00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xVal>
          <c:yVal>
            <c:numRef>
              <c:f>Data!$G$2:$G$10</c:f>
              <c:numCache>
                <c:formatCode>0.0</c:formatCode>
                <c:ptCount val="9"/>
                <c:pt idx="0">
                  <c:v>0</c:v>
                </c:pt>
                <c:pt idx="1">
                  <c:v>-3.6769507066192197E-2</c:v>
                </c:pt>
                <c:pt idx="2">
                  <c:v>-0.51606334538722987</c:v>
                </c:pt>
                <c:pt idx="3">
                  <c:v>-1.3142465346501209</c:v>
                </c:pt>
                <c:pt idx="4">
                  <c:v>-2.3895164983594008</c:v>
                </c:pt>
                <c:pt idx="5">
                  <c:v>-3.851904416683416</c:v>
                </c:pt>
                <c:pt idx="6">
                  <c:v>-5.5850208430871966</c:v>
                </c:pt>
                <c:pt idx="7">
                  <c:v>-7.7958585081867593</c:v>
                </c:pt>
                <c:pt idx="8">
                  <c:v>-10.239691428605791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74-4A5F-B384-44E567655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4"/>
          <c:min val="0"/>
        </c:scaling>
        <c:delete val="0"/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aseline="0">
                    <a:latin typeface="Calibri"/>
                  </a:defRPr>
                </a:pPr>
                <a:r>
                  <a:rPr lang="en-US" sz="1100" baseline="0">
                    <a:latin typeface="Calibri"/>
                  </a:rPr>
                  <a:t>vzdálenost od středu pole (mm)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1000" baseline="0">
                <a:latin typeface="Calibri"/>
              </a:defRPr>
            </a:pPr>
            <a:endParaRPr lang="en-US"/>
          </a:p>
        </c:txPr>
        <c:crossAx val="50010002"/>
        <c:crossesAt val="0"/>
        <c:crossBetween val="midCat"/>
        <c:majorUnit val="1"/>
      </c:valAx>
      <c:valAx>
        <c:axId val="50010002"/>
        <c:scaling>
          <c:orientation val="minMax"/>
          <c:max val="20"/>
          <c:min val="-50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Calibri"/>
                  </a:defRPr>
                </a:pPr>
                <a:r>
                  <a:rPr lang="en-US" sz="1100" baseline="0">
                    <a:latin typeface="Calibri"/>
                  </a:rPr>
                  <a:t>odchylka intenzity pole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808080"/>
            </a:solidFill>
          </a:ln>
        </c:spPr>
        <c:txPr>
          <a:bodyPr/>
          <a:lstStyle/>
          <a:p>
            <a:pPr>
              <a:defRPr sz="10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"/>
      </c:valAx>
      <c:spPr>
        <a:solidFill>
          <a:srgbClr val="FFFFFF"/>
        </a:solidFill>
        <a:ln>
          <a:solidFill>
            <a:srgbClr val="B0B0B0"/>
          </a:solidFill>
        </a:ln>
      </c:spPr>
    </c:plotArea>
    <c:legend>
      <c:legendPos val="b"/>
      <c:overlay val="0"/>
      <c:txPr>
        <a:bodyPr/>
        <a:lstStyle/>
        <a:p>
          <a:pPr>
            <a:defRPr sz="1000" baseline="0"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457200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/>
  </sheetViews>
  <sheetFormatPr defaultRowHeight="15" x14ac:dyDescent="0.25"/>
  <cols>
    <col min="1" max="7" width="2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0</v>
      </c>
      <c r="B2" s="2">
        <v>6.85</v>
      </c>
      <c r="C2" s="2">
        <v>6.85</v>
      </c>
      <c r="D2" s="2">
        <f t="shared" ref="D2:D10" si="0">SQRT(B2^2+C2^2)</f>
        <v>9.6873629022556997</v>
      </c>
      <c r="E2" s="3">
        <f t="shared" ref="E2:E10" si="1">(B2/B$2-1)*100</f>
        <v>0</v>
      </c>
      <c r="F2" s="3">
        <f t="shared" ref="F2:F10" si="2">(C2/B$2-1)*100</f>
        <v>0</v>
      </c>
      <c r="G2" s="3">
        <f t="shared" ref="G2:G10" si="3">(D2/D$2-1)*100</f>
        <v>0</v>
      </c>
    </row>
    <row r="3" spans="1:7" x14ac:dyDescent="0.25">
      <c r="A3" s="2">
        <v>0.5</v>
      </c>
      <c r="B3" s="2">
        <v>7.16</v>
      </c>
      <c r="C3" s="2">
        <v>6.52</v>
      </c>
      <c r="D3" s="2">
        <f t="shared" si="0"/>
        <v>9.6838009066688269</v>
      </c>
      <c r="E3" s="3">
        <f t="shared" si="1"/>
        <v>4.5255474452554845</v>
      </c>
      <c r="F3" s="3">
        <f t="shared" si="2"/>
        <v>-4.8175182481751788</v>
      </c>
      <c r="G3" s="3">
        <f t="shared" si="3"/>
        <v>-3.6769507066192197E-2</v>
      </c>
    </row>
    <row r="4" spans="1:7" x14ac:dyDescent="0.25">
      <c r="A4" s="2">
        <v>1</v>
      </c>
      <c r="B4" s="2">
        <v>7.42</v>
      </c>
      <c r="C4" s="2">
        <v>6.15</v>
      </c>
      <c r="D4" s="2">
        <f t="shared" si="0"/>
        <v>9.6373699731825173</v>
      </c>
      <c r="E4" s="3">
        <f t="shared" si="1"/>
        <v>8.3211678832116895</v>
      </c>
      <c r="F4" s="3">
        <f t="shared" si="2"/>
        <v>-10.218978102189769</v>
      </c>
      <c r="G4" s="3">
        <f t="shared" si="3"/>
        <v>-0.51606334538722987</v>
      </c>
    </row>
    <row r="5" spans="1:7" x14ac:dyDescent="0.25">
      <c r="A5" s="2">
        <v>1.5</v>
      </c>
      <c r="B5" s="2">
        <v>7.63</v>
      </c>
      <c r="C5" s="2">
        <v>5.76</v>
      </c>
      <c r="D5" s="2">
        <f t="shared" si="0"/>
        <v>9.5600470710138232</v>
      </c>
      <c r="E5" s="3">
        <f t="shared" si="1"/>
        <v>11.386861313868613</v>
      </c>
      <c r="F5" s="3">
        <f t="shared" si="2"/>
        <v>-15.912408759124085</v>
      </c>
      <c r="G5" s="3">
        <f t="shared" si="3"/>
        <v>-1.3142465346501209</v>
      </c>
    </row>
    <row r="6" spans="1:7" x14ac:dyDescent="0.25">
      <c r="A6" s="2">
        <v>2</v>
      </c>
      <c r="B6" s="2">
        <v>7.79</v>
      </c>
      <c r="C6" s="2">
        <v>5.36</v>
      </c>
      <c r="D6" s="2">
        <f t="shared" si="0"/>
        <v>9.4558817674503519</v>
      </c>
      <c r="E6" s="3">
        <f t="shared" si="1"/>
        <v>13.722627737226279</v>
      </c>
      <c r="F6" s="3">
        <f t="shared" si="2"/>
        <v>-21.751824817518241</v>
      </c>
      <c r="G6" s="3">
        <f t="shared" si="3"/>
        <v>-2.3895164983594008</v>
      </c>
    </row>
    <row r="7" spans="1:7" x14ac:dyDescent="0.25">
      <c r="A7" s="2">
        <v>2.5</v>
      </c>
      <c r="B7" s="2">
        <v>7.89</v>
      </c>
      <c r="C7" s="2">
        <v>4.95</v>
      </c>
      <c r="D7" s="2">
        <f t="shared" si="0"/>
        <v>9.3142149427635612</v>
      </c>
      <c r="E7" s="3">
        <f t="shared" si="1"/>
        <v>15.182481751824817</v>
      </c>
      <c r="F7" s="3">
        <f t="shared" si="2"/>
        <v>-27.737226277372251</v>
      </c>
      <c r="G7" s="3">
        <f t="shared" si="3"/>
        <v>-3.851904416683416</v>
      </c>
    </row>
    <row r="8" spans="1:7" x14ac:dyDescent="0.25">
      <c r="A8" s="2">
        <v>3</v>
      </c>
      <c r="B8" s="2">
        <v>7.94</v>
      </c>
      <c r="C8" s="2">
        <v>4.54</v>
      </c>
      <c r="D8" s="2">
        <f t="shared" si="0"/>
        <v>9.1463216650192223</v>
      </c>
      <c r="E8" s="3">
        <f t="shared" si="1"/>
        <v>15.912408759124098</v>
      </c>
      <c r="F8" s="3">
        <f t="shared" si="2"/>
        <v>-33.722627737226276</v>
      </c>
      <c r="G8" s="3">
        <f t="shared" si="3"/>
        <v>-5.5850208430871966</v>
      </c>
    </row>
    <row r="9" spans="1:7" x14ac:dyDescent="0.25">
      <c r="A9" s="2">
        <v>3.5</v>
      </c>
      <c r="B9" s="2">
        <v>7.92</v>
      </c>
      <c r="C9" s="2">
        <v>4.13</v>
      </c>
      <c r="D9" s="2">
        <f t="shared" si="0"/>
        <v>8.9321497972212711</v>
      </c>
      <c r="E9" s="3">
        <f t="shared" si="1"/>
        <v>15.62043795620438</v>
      </c>
      <c r="F9" s="3">
        <f t="shared" si="2"/>
        <v>-39.708029197080286</v>
      </c>
      <c r="G9" s="3">
        <f t="shared" si="3"/>
        <v>-7.7958585081867593</v>
      </c>
    </row>
    <row r="10" spans="1:7" x14ac:dyDescent="0.25">
      <c r="A10" s="2">
        <v>4</v>
      </c>
      <c r="B10" s="2">
        <v>7.85</v>
      </c>
      <c r="C10" s="2">
        <v>3.74</v>
      </c>
      <c r="D10" s="2">
        <f t="shared" si="0"/>
        <v>8.6954068334954862</v>
      </c>
      <c r="E10" s="3">
        <f t="shared" si="1"/>
        <v>14.598540145985407</v>
      </c>
      <c r="F10" s="3">
        <f t="shared" si="2"/>
        <v>-45.40145985401459</v>
      </c>
      <c r="G10" s="3">
        <f t="shared" si="3"/>
        <v>-10.239691428605791</v>
      </c>
    </row>
    <row r="12" spans="1:7" ht="48" customHeight="1" x14ac:dyDescent="0.25">
      <c r="A12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Krutina Alfréd</cp:lastModifiedBy>
  <dcterms:created xsi:type="dcterms:W3CDTF">2026-10-28T12:13:59Z</dcterms:created>
  <dcterms:modified xsi:type="dcterms:W3CDTF">2026-10-28T12:14:00Z</dcterms:modified>
</cp:coreProperties>
</file>