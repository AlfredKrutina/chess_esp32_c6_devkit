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r:id="rId1"/>
    <sheet name="Grafy" sheetId="2" r:id="rId2"/>
  </sheets>
  <calcPr calcId="124519" fullCalcOnLoad="1"/>
</workbook>
</file>

<file path=xl/sharedStrings.xml><?xml version="1.0" encoding="utf-8"?>
<sst xmlns="http://schemas.openxmlformats.org/spreadsheetml/2006/main" count="67" uniqueCount="56">
  <si>
    <t>Porovnání detekce figury — jazýček a Hallův senzor</t>
  </si>
  <si>
    <t>Alfréd Krutina, 3.C S3</t>
  </si>
  <si>
    <t>28. 10. 2026</t>
  </si>
  <si>
    <t>V1 umí jen obsazeno / prázdno. V2 umí i polaritu a sílu pole.</t>
  </si>
  <si>
    <t>Katalog DRV5055A1QDBZR při 3,3 V</t>
  </si>
  <si>
    <t>parametr</t>
  </si>
  <si>
    <t>hodnota</t>
  </si>
  <si>
    <t>jednotka</t>
  </si>
  <si>
    <t>poznámka</t>
  </si>
  <si>
    <t>napájecí napětí VCC</t>
  </si>
  <si>
    <t>V</t>
  </si>
  <si>
    <t>napájení senzoru na desce</t>
  </si>
  <si>
    <t>klidové napětí VQ</t>
  </si>
  <si>
    <t>při B = 0 je výstup polovina VCC, katalog typ. 1,65 V (1,59 až 1,71)</t>
  </si>
  <si>
    <t>citlivost S, typ.</t>
  </si>
  <si>
    <t>mV/mT</t>
  </si>
  <si>
    <t>katalog A1 při 3,3 V a 25 °C, ne přepočet z 5 V</t>
  </si>
  <si>
    <t>citlivost S, minimum</t>
  </si>
  <si>
    <t>dolní mez z katalogu</t>
  </si>
  <si>
    <t>citlivost S, maximum</t>
  </si>
  <si>
    <t>horní mez z katalogu</t>
  </si>
  <si>
    <t>citlivost při 5 V</t>
  </si>
  <si>
    <t>jen pro srovnání, do grafu při 3,3 V nepatří (rozsah tam je ±21 mT)</t>
  </si>
  <si>
    <t>lineární rozsah</t>
  </si>
  <si>
    <t>mT</t>
  </si>
  <si>
    <t>typická hodnota při 3,3 V, mimo ni už přímka neplatí</t>
  </si>
  <si>
    <t>dolní mez linearity VL</t>
  </si>
  <si>
    <t>blíž k nule se výstup ohýbá</t>
  </si>
  <si>
    <t>horní mez linearity VL</t>
  </si>
  <si>
    <t>VCC − 0,2 V</t>
  </si>
  <si>
    <t>Čísla jsou z katalogového listu TI DRV5055 (VCC = 3,3 V, 25 °C), ne z měření na desce. Vzorec v tabulkách je VOUT = VQ + S·B, citlivost se dosazuje v V/mT, tedy 60 mV/mT = 0,060 V/mT. Přepočet 100 × 3,3 / 5 = 66 mV/mT jsem nepoužil, katalog pro 3,3 V udává přímo 60 mV/mT (57 až 63). Kladné B je jižní pól u označené strany pouzdra a napětí stoupá nad 1,65 V. Severní pól ho stáhne pod 1,65 V. Černou figurku beru jako jižní pól směrem k označené straně, bílou jako severní. Když je senzor otočený naopak, barvy se prohodí. Mimo asi ±22 mT katalog přímku nezaručuje.</t>
  </si>
  <si>
    <t>Pár hodnot z přímky (typ. 60 mV/mT)</t>
  </si>
  <si>
    <t>B [mT]</t>
  </si>
  <si>
    <t>při 60 mV/mT</t>
  </si>
  <si>
    <t>při 57 mV/mT</t>
  </si>
  <si>
    <t>při 63 mV/mT</t>
  </si>
  <si>
    <t>co je na poli</t>
  </si>
  <si>
    <t>kraj linearity, N pól (bílá figurka)</t>
  </si>
  <si>
    <t>N pól (bílá figurka)</t>
  </si>
  <si>
    <t>prázdné pole</t>
  </si>
  <si>
    <t>S pól (černá figurka)</t>
  </si>
  <si>
    <t>kraj linearity, S pól (černá figurka)</t>
  </si>
  <si>
    <t>V1 — ukázkový záznam jazýčkového spínače</t>
  </si>
  <si>
    <t>t [s]</t>
  </si>
  <si>
    <t>výstup</t>
  </si>
  <si>
    <t>figurka na poli</t>
  </si>
  <si>
    <t>sundání figury</t>
  </si>
  <si>
    <t>pole prázdné</t>
  </si>
  <si>
    <t>Není to měření z desky, jen ukázka průběhu. Výstup je pořád jen 0 nebo 1, barvu ani druh figury z něj nejde poznat. Dva řádky v čase 6,5 s jsou schválně, aby hrana v grafu byla svislá. Kdyby tam byl řádek jen jeden, Excel by body spojil šikmo.</t>
  </si>
  <si>
    <t>V2 — body pro graf, krok 2 mT</t>
  </si>
  <si>
    <t>popisek osy</t>
  </si>
  <si>
    <t>pásmo N [V]</t>
  </si>
  <si>
    <t>pásmo S [V]</t>
  </si>
  <si>
    <t>klid [V]</t>
  </si>
  <si>
    <t>Šedé sloupce jsou jen výplň grafu (barevná pásma a čárkovaná klidová hodnota). Do protokolu se nemusí opisovat. Popisek osy je prázdný u mezilehlých bodů, ať osa není přeplácaná.</t>
  </si>
  <si>
    <t>Alfréd Krutina, 3.C S3 — detekce šachové figury, 28. 10. 2026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</si>
</sst>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@"/>
    <numFmt numFmtId="166" formatCode="0.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rgb="FF666666"/>
      <name val="Calibri"/>
      <family val="2"/>
      <scheme val="minor"/>
    </font>
    <font>
      <sz val="9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left" vertical="center" wrapText="1"/>
    </xf>
    <xf numFmtId="166" fontId="0" fillId="0" borderId="1" xfId="0" applyNumberForma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latin typeface="Calibri"/>
              </a:defRPr>
            </a:pPr>
            <a:r>
              <a:rPr lang="en-US" sz="1300" b="1" baseline="0">
                <a:latin typeface="Calibri"/>
              </a:rPr>
              <a:t>V1: Jazýčkový spínač (nerozliší typ ani barvu)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jazýčkový spínač (jen 0 nebo 1)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Data!$A$29:$A$60</c:f>
              <c:numCache>
                <c:formatCode>General</c:formatCode>
                <c:ptCount val="3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  <c:pt idx="19">
                  <c:v>9</c:v>
                </c:pt>
                <c:pt idx="20">
                  <c:v>9.5</c:v>
                </c:pt>
                <c:pt idx="21">
                  <c:v>10</c:v>
                </c:pt>
                <c:pt idx="22">
                  <c:v>10.5</c:v>
                </c:pt>
                <c:pt idx="23">
                  <c:v>11</c:v>
                </c:pt>
                <c:pt idx="24">
                  <c:v>11.5</c:v>
                </c:pt>
                <c:pt idx="25">
                  <c:v>12</c:v>
                </c:pt>
                <c:pt idx="26">
                  <c:v>12.5</c:v>
                </c:pt>
                <c:pt idx="27">
                  <c:v>13</c:v>
                </c:pt>
                <c:pt idx="28">
                  <c:v>13.5</c:v>
                </c:pt>
                <c:pt idx="29">
                  <c:v>14</c:v>
                </c:pt>
                <c:pt idx="30">
                  <c:v>14.5</c:v>
                </c:pt>
                <c:pt idx="31">
                  <c:v>15</c:v>
                </c:pt>
              </c:numCache>
            </c:numRef>
          </c:xVal>
          <c:yVal>
            <c:numRef>
              <c:f>Data!$B$29:$B$60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"/>
          <c:min val="0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aseline="0">
                    <a:latin typeface="Calibri"/>
                  </a:defRPr>
                </a:pPr>
                <a:r>
                  <a:rPr lang="en-US" sz="1100" baseline="0">
                    <a:latin typeface="Calibri"/>
                  </a:rPr>
                  <a:t>čas t [s]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  <c:majorUnit val="2"/>
      </c:valAx>
      <c:valAx>
        <c:axId val="50010002"/>
        <c:scaling>
          <c:orientation val="minMax"/>
          <c:max val="1.05"/>
          <c:min val="-0.05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Calibri"/>
                  </a:defRPr>
                </a:pPr>
                <a:r>
                  <a:rPr lang="en-US" sz="1100" baseline="0">
                    <a:latin typeface="Calibri"/>
                  </a:rPr>
                  <a:t>stav (1 = obsazeno, 0 = prázdno)</a:t>
                </a:r>
              </a:p>
            </c:rich>
          </c:tx>
          <c:layout/>
        </c:title>
        <c:numFmt formatCode="0" sourceLinked="0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b"/>
      <c:layout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latin typeface="Calibri"/>
              </a:defRPr>
            </a:pPr>
            <a:r>
              <a:rPr lang="en-US" sz="1300" b="1" baseline="0">
                <a:latin typeface="Calibri"/>
              </a:rPr>
              <a:t>V2: DRV5055A1QDBZR při 3,3 V (síla pole i polarita)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bílé figury, N pól (pod 1,65 V)</c:v>
          </c:tx>
          <c:spPr>
            <a:solidFill>
              <a:srgbClr val="D6EAF8"/>
            </a:solidFill>
            <a:ln>
              <a:noFill/>
            </a:ln>
          </c:spPr>
          <c:cat>
            <c:numRef>
              <c:f>Data!$E$66:$E$88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cat>
          <c:val>
            <c:numRef>
              <c:f>Data!$F$66:$F$88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v>černé figury, S pól (nad 1,65 V)</c:v>
          </c:tx>
          <c:spPr>
            <a:solidFill>
              <a:srgbClr val="D5F5E3"/>
            </a:solidFill>
            <a:ln>
              <a:noFill/>
            </a:ln>
          </c:spPr>
          <c:cat>
            <c:numRef>
              <c:f>Data!$E$66:$E$88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cat>
          <c:val>
            <c:numRef>
              <c:f>Data!$G$66:$G$88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axId val="50020001"/>
        <c:axId val="50020002"/>
      </c:areaChart>
      <c:lineChart>
        <c:grouping val="standard"/>
        <c:ser>
          <c:idx val="2"/>
          <c:order val="2"/>
          <c:tx>
            <c:v>VOUT, typ. 60 mV/mT</c:v>
          </c:tx>
          <c:spPr>
            <a:ln w="28575">
              <a:solidFill>
                <a:srgbClr val="1F4E79"/>
              </a:solidFill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</a:ln>
            </c:spPr>
          </c:marker>
          <c:cat>
            <c:numRef>
              <c:f>Data!$E$66:$E$88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cat>
          <c:val>
            <c:numRef>
              <c:f>Data!$B$66:$B$88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3"/>
          <c:order val="3"/>
          <c:tx>
            <c:v>klid bez magnetu, 1,65 V</c:v>
          </c:tx>
          <c:spPr>
            <a:ln w="19050">
              <a:solidFill>
                <a:srgbClr val="595959"/>
              </a:solidFill>
              <a:prstDash val="dash"/>
            </a:ln>
          </c:spPr>
          <c:marker>
            <c:symbol val="none"/>
          </c:marker>
          <c:cat>
            <c:numRef>
              <c:f>Data!$E$66:$E$88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cat>
          <c:val>
            <c:numRef>
              <c:f>Data!$H$66:$H$88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aseline="0">
                    <a:latin typeface="Calibri"/>
                  </a:defRPr>
                </a:pPr>
                <a:r>
                  <a:rPr lang="en-US" sz="1100" baseline="0">
                    <a:latin typeface="Calibri"/>
                  </a:rPr>
                  <a:t>magnetická indukce B [mT]</a:t>
                </a:r>
              </a:p>
            </c:rich>
          </c:tx>
          <c:layout/>
        </c:title>
        <c:numFmt formatCode="General" sourceLinked="1"/>
        <c:tickLblPos val="low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.3"/>
          <c:min val="0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aseline="0">
                    <a:latin typeface="Calibri"/>
                  </a:defRPr>
                </a:pPr>
                <a:r>
                  <a:rPr lang="en-US" sz="1100" baseline="0">
                    <a:latin typeface="Calibri"/>
                  </a:rPr>
                  <a:t>výstupní napětí VOUT [V]</a:t>
                </a:r>
              </a:p>
            </c:rich>
          </c:tx>
          <c:layout/>
        </c:title>
        <c:numFmt formatCode="0.00" sourceLinked="0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0.55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14</xdr:col>
      <xdr:colOff>266700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14</xdr:col>
      <xdr:colOff>266700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0"/>
  <sheetViews>
    <sheetView workbookViewId="0"/>
  </sheetViews>
  <sheetFormatPr defaultRowHeight="15"/>
  <cols>
    <col min="1" max="1" width="34.7109375" customWidth="1"/>
    <col min="2" max="3" width="16.7109375" customWidth="1"/>
    <col min="4" max="4" width="42.7109375" customWidth="1"/>
    <col min="5" max="5" width="48.7109375" customWidth="1"/>
    <col min="6" max="8" width="16.7109375" customWidth="1"/>
  </cols>
  <sheetData>
    <row r="1" spans="1:4">
      <c r="A1" s="1" t="s">
        <v>0</v>
      </c>
    </row>
    <row r="2" spans="1:4">
      <c r="A2" s="2" t="s">
        <v>1</v>
      </c>
    </row>
    <row r="3" spans="1:4">
      <c r="A3" s="2" t="s">
        <v>2</v>
      </c>
    </row>
    <row r="4" spans="1:4">
      <c r="A4" s="2" t="s">
        <v>3</v>
      </c>
    </row>
    <row r="6" spans="1:4">
      <c r="A6" s="3" t="s">
        <v>4</v>
      </c>
    </row>
    <row r="7" spans="1:4">
      <c r="A7" s="4" t="s">
        <v>5</v>
      </c>
      <c r="B7" s="4" t="s">
        <v>6</v>
      </c>
      <c r="C7" s="4" t="s">
        <v>7</v>
      </c>
      <c r="D7" s="4" t="s">
        <v>8</v>
      </c>
    </row>
    <row r="8" spans="1:4" ht="20" customHeight="1">
      <c r="A8" s="5" t="s">
        <v>9</v>
      </c>
      <c r="B8" s="6">
        <v>3.3</v>
      </c>
      <c r="C8" s="5" t="s">
        <v>10</v>
      </c>
      <c r="D8" s="5" t="s">
        <v>11</v>
      </c>
    </row>
    <row r="9" spans="1:4" ht="20" customHeight="1">
      <c r="A9" s="5" t="s">
        <v>12</v>
      </c>
      <c r="B9" s="6">
        <f>B8/2</f>
        <v>0</v>
      </c>
      <c r="C9" s="5" t="s">
        <v>10</v>
      </c>
      <c r="D9" s="5" t="s">
        <v>13</v>
      </c>
    </row>
    <row r="10" spans="1:4" ht="20" customHeight="1">
      <c r="A10" s="5" t="s">
        <v>14</v>
      </c>
      <c r="B10" s="7">
        <v>60</v>
      </c>
      <c r="C10" s="5" t="s">
        <v>15</v>
      </c>
      <c r="D10" s="5" t="s">
        <v>16</v>
      </c>
    </row>
    <row r="11" spans="1:4" ht="20" customHeight="1">
      <c r="A11" s="5" t="s">
        <v>17</v>
      </c>
      <c r="B11" s="7">
        <v>57</v>
      </c>
      <c r="C11" s="5" t="s">
        <v>15</v>
      </c>
      <c r="D11" s="5" t="s">
        <v>18</v>
      </c>
    </row>
    <row r="12" spans="1:4" ht="20" customHeight="1">
      <c r="A12" s="5" t="s">
        <v>19</v>
      </c>
      <c r="B12" s="7">
        <v>63</v>
      </c>
      <c r="C12" s="5" t="s">
        <v>15</v>
      </c>
      <c r="D12" s="5" t="s">
        <v>20</v>
      </c>
    </row>
    <row r="13" spans="1:4" ht="20" customHeight="1">
      <c r="A13" s="5" t="s">
        <v>21</v>
      </c>
      <c r="B13" s="7">
        <v>100</v>
      </c>
      <c r="C13" s="5" t="s">
        <v>15</v>
      </c>
      <c r="D13" s="5" t="s">
        <v>22</v>
      </c>
    </row>
    <row r="14" spans="1:4" ht="20" customHeight="1">
      <c r="A14" s="5" t="s">
        <v>23</v>
      </c>
      <c r="B14" s="7">
        <v>22</v>
      </c>
      <c r="C14" s="5" t="s">
        <v>24</v>
      </c>
      <c r="D14" s="5" t="s">
        <v>25</v>
      </c>
    </row>
    <row r="15" spans="1:4" ht="20" customHeight="1">
      <c r="A15" s="5" t="s">
        <v>26</v>
      </c>
      <c r="B15" s="6">
        <v>0.2</v>
      </c>
      <c r="C15" s="5" t="s">
        <v>10</v>
      </c>
      <c r="D15" s="5" t="s">
        <v>27</v>
      </c>
    </row>
    <row r="16" spans="1:4" ht="20" customHeight="1">
      <c r="A16" s="5" t="s">
        <v>28</v>
      </c>
      <c r="B16" s="6">
        <f>B8-0.2</f>
        <v>0</v>
      </c>
      <c r="C16" s="5" t="s">
        <v>10</v>
      </c>
      <c r="D16" s="5" t="s">
        <v>29</v>
      </c>
    </row>
    <row r="17" spans="1:5" ht="78" customHeight="1">
      <c r="A17" s="8" t="s">
        <v>30</v>
      </c>
      <c r="B17" s="8"/>
      <c r="C17" s="8"/>
      <c r="D17" s="8"/>
      <c r="E17" s="8"/>
    </row>
    <row r="19" spans="1:5">
      <c r="A19" s="3" t="s">
        <v>31</v>
      </c>
    </row>
    <row r="20" spans="1:5" ht="22" customHeight="1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</row>
    <row r="21" spans="1:5">
      <c r="A21" s="9">
        <v>-22</v>
      </c>
      <c r="B21" s="10">
        <f>$B$9+$B$10/1000*A21</f>
        <v>0</v>
      </c>
      <c r="C21" s="10">
        <f>$B$9+$B$11/1000*A21</f>
        <v>0</v>
      </c>
      <c r="D21" s="10">
        <f>$B$9+$B$12/1000*A21</f>
        <v>0</v>
      </c>
      <c r="E21" s="11" t="s">
        <v>37</v>
      </c>
    </row>
    <row r="22" spans="1:5">
      <c r="A22" s="9">
        <v>-10</v>
      </c>
      <c r="B22" s="10">
        <f>$B$9+$B$10/1000*A22</f>
        <v>0</v>
      </c>
      <c r="C22" s="10">
        <f>$B$9+$B$11/1000*A22</f>
        <v>0</v>
      </c>
      <c r="D22" s="10">
        <f>$B$9+$B$12/1000*A22</f>
        <v>0</v>
      </c>
      <c r="E22" s="11" t="s">
        <v>38</v>
      </c>
    </row>
    <row r="23" spans="1:5">
      <c r="A23" s="7">
        <v>0</v>
      </c>
      <c r="B23" s="6">
        <f>$B$9+$B$10/1000*A23</f>
        <v>0</v>
      </c>
      <c r="C23" s="6">
        <f>$B$9+$B$11/1000*A23</f>
        <v>0</v>
      </c>
      <c r="D23" s="6">
        <f>$B$9+$B$12/1000*A23</f>
        <v>0</v>
      </c>
      <c r="E23" s="5" t="s">
        <v>39</v>
      </c>
    </row>
    <row r="24" spans="1:5">
      <c r="A24" s="12">
        <v>10</v>
      </c>
      <c r="B24" s="13">
        <f>$B$9+$B$10/1000*A24</f>
        <v>0</v>
      </c>
      <c r="C24" s="13">
        <f>$B$9+$B$11/1000*A24</f>
        <v>0</v>
      </c>
      <c r="D24" s="13">
        <f>$B$9+$B$12/1000*A24</f>
        <v>0</v>
      </c>
      <c r="E24" s="14" t="s">
        <v>40</v>
      </c>
    </row>
    <row r="25" spans="1:5">
      <c r="A25" s="12">
        <v>22</v>
      </c>
      <c r="B25" s="13">
        <f>$B$9+$B$10/1000*A25</f>
        <v>0</v>
      </c>
      <c r="C25" s="13">
        <f>$B$9+$B$11/1000*A25</f>
        <v>0</v>
      </c>
      <c r="D25" s="13">
        <f>$B$9+$B$12/1000*A25</f>
        <v>0</v>
      </c>
      <c r="E25" s="14" t="s">
        <v>41</v>
      </c>
    </row>
    <row r="27" spans="1:5">
      <c r="A27" s="3" t="s">
        <v>42</v>
      </c>
    </row>
    <row r="28" spans="1:5">
      <c r="A28" s="4" t="s">
        <v>43</v>
      </c>
      <c r="B28" s="4" t="s">
        <v>44</v>
      </c>
      <c r="C28" s="4" t="s">
        <v>8</v>
      </c>
    </row>
    <row r="29" spans="1:5">
      <c r="A29" s="15">
        <v>0</v>
      </c>
      <c r="B29" s="7">
        <v>1</v>
      </c>
      <c r="C29" s="5" t="s">
        <v>45</v>
      </c>
    </row>
    <row r="30" spans="1:5">
      <c r="A30" s="15">
        <v>0.5</v>
      </c>
      <c r="B30" s="7">
        <v>1</v>
      </c>
      <c r="C30" s="5"/>
    </row>
    <row r="31" spans="1:5">
      <c r="A31" s="15">
        <v>1</v>
      </c>
      <c r="B31" s="7">
        <v>1</v>
      </c>
      <c r="C31" s="5"/>
    </row>
    <row r="32" spans="1:5">
      <c r="A32" s="15">
        <v>1.5</v>
      </c>
      <c r="B32" s="7">
        <v>1</v>
      </c>
      <c r="C32" s="5"/>
    </row>
    <row r="33" spans="1:3">
      <c r="A33" s="15">
        <v>2</v>
      </c>
      <c r="B33" s="7">
        <v>1</v>
      </c>
      <c r="C33" s="5"/>
    </row>
    <row r="34" spans="1:3">
      <c r="A34" s="15">
        <v>2.5</v>
      </c>
      <c r="B34" s="7">
        <v>1</v>
      </c>
      <c r="C34" s="5"/>
    </row>
    <row r="35" spans="1:3">
      <c r="A35" s="15">
        <v>3</v>
      </c>
      <c r="B35" s="7">
        <v>1</v>
      </c>
      <c r="C35" s="5"/>
    </row>
    <row r="36" spans="1:3">
      <c r="A36" s="15">
        <v>3.5</v>
      </c>
      <c r="B36" s="7">
        <v>1</v>
      </c>
      <c r="C36" s="5"/>
    </row>
    <row r="37" spans="1:3">
      <c r="A37" s="15">
        <v>4</v>
      </c>
      <c r="B37" s="7">
        <v>1</v>
      </c>
      <c r="C37" s="5"/>
    </row>
    <row r="38" spans="1:3">
      <c r="A38" s="15">
        <v>4.5</v>
      </c>
      <c r="B38" s="7">
        <v>1</v>
      </c>
      <c r="C38" s="5"/>
    </row>
    <row r="39" spans="1:3">
      <c r="A39" s="15">
        <v>5</v>
      </c>
      <c r="B39" s="7">
        <v>1</v>
      </c>
      <c r="C39" s="5"/>
    </row>
    <row r="40" spans="1:3">
      <c r="A40" s="15">
        <v>5.5</v>
      </c>
      <c r="B40" s="7">
        <v>1</v>
      </c>
      <c r="C40" s="5"/>
    </row>
    <row r="41" spans="1:3">
      <c r="A41" s="15">
        <v>6</v>
      </c>
      <c r="B41" s="7">
        <v>1</v>
      </c>
      <c r="C41" s="5"/>
    </row>
    <row r="42" spans="1:3">
      <c r="A42" s="15">
        <v>6.5</v>
      </c>
      <c r="B42" s="7">
        <v>1</v>
      </c>
      <c r="C42" s="5"/>
    </row>
    <row r="43" spans="1:3">
      <c r="A43" s="15">
        <v>6.5</v>
      </c>
      <c r="B43" s="7">
        <v>0</v>
      </c>
      <c r="C43" s="5" t="s">
        <v>46</v>
      </c>
    </row>
    <row r="44" spans="1:3">
      <c r="A44" s="15">
        <v>7</v>
      </c>
      <c r="B44" s="7">
        <v>0</v>
      </c>
      <c r="C44" s="5"/>
    </row>
    <row r="45" spans="1:3">
      <c r="A45" s="15">
        <v>7.5</v>
      </c>
      <c r="B45" s="7">
        <v>0</v>
      </c>
      <c r="C45" s="5"/>
    </row>
    <row r="46" spans="1:3">
      <c r="A46" s="15">
        <v>8</v>
      </c>
      <c r="B46" s="7">
        <v>0</v>
      </c>
      <c r="C46" s="5"/>
    </row>
    <row r="47" spans="1:3">
      <c r="A47" s="15">
        <v>8.5</v>
      </c>
      <c r="B47" s="7">
        <v>0</v>
      </c>
      <c r="C47" s="5"/>
    </row>
    <row r="48" spans="1:3">
      <c r="A48" s="15">
        <v>9</v>
      </c>
      <c r="B48" s="7">
        <v>0</v>
      </c>
      <c r="C48" s="5"/>
    </row>
    <row r="49" spans="1:5">
      <c r="A49" s="15">
        <v>9.5</v>
      </c>
      <c r="B49" s="7">
        <v>0</v>
      </c>
      <c r="C49" s="5"/>
    </row>
    <row r="50" spans="1:5">
      <c r="A50" s="15">
        <v>10</v>
      </c>
      <c r="B50" s="7">
        <v>0</v>
      </c>
      <c r="C50" s="5"/>
    </row>
    <row r="51" spans="1:5">
      <c r="A51" s="15">
        <v>10.5</v>
      </c>
      <c r="B51" s="7">
        <v>0</v>
      </c>
      <c r="C51" s="5"/>
    </row>
    <row r="52" spans="1:5">
      <c r="A52" s="15">
        <v>11</v>
      </c>
      <c r="B52" s="7">
        <v>0</v>
      </c>
      <c r="C52" s="5"/>
    </row>
    <row r="53" spans="1:5">
      <c r="A53" s="15">
        <v>11.5</v>
      </c>
      <c r="B53" s="7">
        <v>0</v>
      </c>
      <c r="C53" s="5"/>
    </row>
    <row r="54" spans="1:5">
      <c r="A54" s="15">
        <v>12</v>
      </c>
      <c r="B54" s="7">
        <v>0</v>
      </c>
      <c r="C54" s="5"/>
    </row>
    <row r="55" spans="1:5">
      <c r="A55" s="15">
        <v>12.5</v>
      </c>
      <c r="B55" s="7">
        <v>0</v>
      </c>
      <c r="C55" s="5"/>
    </row>
    <row r="56" spans="1:5">
      <c r="A56" s="15">
        <v>13</v>
      </c>
      <c r="B56" s="7">
        <v>0</v>
      </c>
      <c r="C56" s="5"/>
    </row>
    <row r="57" spans="1:5">
      <c r="A57" s="15">
        <v>13.5</v>
      </c>
      <c r="B57" s="7">
        <v>0</v>
      </c>
      <c r="C57" s="5"/>
    </row>
    <row r="58" spans="1:5">
      <c r="A58" s="15">
        <v>14</v>
      </c>
      <c r="B58" s="7">
        <v>0</v>
      </c>
      <c r="C58" s="5"/>
    </row>
    <row r="59" spans="1:5">
      <c r="A59" s="15">
        <v>14.5</v>
      </c>
      <c r="B59" s="7">
        <v>0</v>
      </c>
      <c r="C59" s="5"/>
    </row>
    <row r="60" spans="1:5">
      <c r="A60" s="15">
        <v>15</v>
      </c>
      <c r="B60" s="7">
        <v>0</v>
      </c>
      <c r="C60" s="5" t="s">
        <v>47</v>
      </c>
    </row>
    <row r="62" spans="1:5" ht="36" customHeight="1">
      <c r="A62" s="8" t="s">
        <v>48</v>
      </c>
      <c r="B62" s="8"/>
      <c r="C62" s="8"/>
      <c r="D62" s="8"/>
      <c r="E62" s="8"/>
    </row>
    <row r="64" spans="1:5">
      <c r="A64" s="3" t="s">
        <v>49</v>
      </c>
    </row>
    <row r="65" spans="1:8">
      <c r="A65" s="4" t="s">
        <v>32</v>
      </c>
      <c r="B65" s="4" t="s">
        <v>33</v>
      </c>
      <c r="C65" s="4" t="s">
        <v>34</v>
      </c>
      <c r="D65" s="4" t="s">
        <v>35</v>
      </c>
      <c r="E65" s="16" t="s">
        <v>50</v>
      </c>
      <c r="F65" s="16" t="s">
        <v>51</v>
      </c>
      <c r="G65" s="16" t="s">
        <v>52</v>
      </c>
      <c r="H65" s="16" t="s">
        <v>53</v>
      </c>
    </row>
    <row r="66" spans="1:8">
      <c r="A66" s="7">
        <v>-22</v>
      </c>
      <c r="B66" s="6">
        <f>$B$9+$B$10/1000*A66</f>
        <v>0</v>
      </c>
      <c r="C66" s="6">
        <f>$B$9+$B$11/1000*A66</f>
        <v>0</v>
      </c>
      <c r="D66" s="6">
        <f>$B$9+$B$12/1000*A66</f>
        <v>0</v>
      </c>
      <c r="E66" s="17">
        <f>IF(MOD(A66,10)=0,TEXT(A66,"0"),"")</f>
        <v>0</v>
      </c>
      <c r="F66" s="18">
        <f>$B$9</f>
        <v>0</v>
      </c>
      <c r="G66" s="18">
        <f>$B$8-$B$9</f>
        <v>0</v>
      </c>
      <c r="H66" s="18">
        <f>$B$9</f>
        <v>0</v>
      </c>
    </row>
    <row r="67" spans="1:8">
      <c r="A67" s="7">
        <v>-20</v>
      </c>
      <c r="B67" s="6">
        <f>$B$9+$B$10/1000*A67</f>
        <v>0</v>
      </c>
      <c r="C67" s="6">
        <f>$B$9+$B$11/1000*A67</f>
        <v>0</v>
      </c>
      <c r="D67" s="6">
        <f>$B$9+$B$12/1000*A67</f>
        <v>0</v>
      </c>
      <c r="E67" s="17">
        <f>IF(MOD(A67,10)=0,TEXT(A67,"0"),"")</f>
        <v>0</v>
      </c>
      <c r="F67" s="18">
        <f>$B$9</f>
        <v>0</v>
      </c>
      <c r="G67" s="18">
        <f>$B$8-$B$9</f>
        <v>0</v>
      </c>
      <c r="H67" s="18">
        <f>$B$9</f>
        <v>0</v>
      </c>
    </row>
    <row r="68" spans="1:8">
      <c r="A68" s="7">
        <v>-18</v>
      </c>
      <c r="B68" s="6">
        <f>$B$9+$B$10/1000*A68</f>
        <v>0</v>
      </c>
      <c r="C68" s="6">
        <f>$B$9+$B$11/1000*A68</f>
        <v>0</v>
      </c>
      <c r="D68" s="6">
        <f>$B$9+$B$12/1000*A68</f>
        <v>0</v>
      </c>
      <c r="E68" s="17">
        <f>IF(MOD(A68,10)=0,TEXT(A68,"0"),"")</f>
        <v>0</v>
      </c>
      <c r="F68" s="18">
        <f>$B$9</f>
        <v>0</v>
      </c>
      <c r="G68" s="18">
        <f>$B$8-$B$9</f>
        <v>0</v>
      </c>
      <c r="H68" s="18">
        <f>$B$9</f>
        <v>0</v>
      </c>
    </row>
    <row r="69" spans="1:8">
      <c r="A69" s="7">
        <v>-16</v>
      </c>
      <c r="B69" s="6">
        <f>$B$9+$B$10/1000*A69</f>
        <v>0</v>
      </c>
      <c r="C69" s="6">
        <f>$B$9+$B$11/1000*A69</f>
        <v>0</v>
      </c>
      <c r="D69" s="6">
        <f>$B$9+$B$12/1000*A69</f>
        <v>0</v>
      </c>
      <c r="E69" s="17">
        <f>IF(MOD(A69,10)=0,TEXT(A69,"0"),"")</f>
        <v>0</v>
      </c>
      <c r="F69" s="18">
        <f>$B$9</f>
        <v>0</v>
      </c>
      <c r="G69" s="18">
        <f>$B$8-$B$9</f>
        <v>0</v>
      </c>
      <c r="H69" s="18">
        <f>$B$9</f>
        <v>0</v>
      </c>
    </row>
    <row r="70" spans="1:8">
      <c r="A70" s="7">
        <v>-14</v>
      </c>
      <c r="B70" s="6">
        <f>$B$9+$B$10/1000*A70</f>
        <v>0</v>
      </c>
      <c r="C70" s="6">
        <f>$B$9+$B$11/1000*A70</f>
        <v>0</v>
      </c>
      <c r="D70" s="6">
        <f>$B$9+$B$12/1000*A70</f>
        <v>0</v>
      </c>
      <c r="E70" s="17">
        <f>IF(MOD(A70,10)=0,TEXT(A70,"0"),"")</f>
        <v>0</v>
      </c>
      <c r="F70" s="18">
        <f>$B$9</f>
        <v>0</v>
      </c>
      <c r="G70" s="18">
        <f>$B$8-$B$9</f>
        <v>0</v>
      </c>
      <c r="H70" s="18">
        <f>$B$9</f>
        <v>0</v>
      </c>
    </row>
    <row r="71" spans="1:8">
      <c r="A71" s="7">
        <v>-12</v>
      </c>
      <c r="B71" s="6">
        <f>$B$9+$B$10/1000*A71</f>
        <v>0</v>
      </c>
      <c r="C71" s="6">
        <f>$B$9+$B$11/1000*A71</f>
        <v>0</v>
      </c>
      <c r="D71" s="6">
        <f>$B$9+$B$12/1000*A71</f>
        <v>0</v>
      </c>
      <c r="E71" s="17">
        <f>IF(MOD(A71,10)=0,TEXT(A71,"0"),"")</f>
        <v>0</v>
      </c>
      <c r="F71" s="18">
        <f>$B$9</f>
        <v>0</v>
      </c>
      <c r="G71" s="18">
        <f>$B$8-$B$9</f>
        <v>0</v>
      </c>
      <c r="H71" s="18">
        <f>$B$9</f>
        <v>0</v>
      </c>
    </row>
    <row r="72" spans="1:8">
      <c r="A72" s="7">
        <v>-10</v>
      </c>
      <c r="B72" s="6">
        <f>$B$9+$B$10/1000*A72</f>
        <v>0</v>
      </c>
      <c r="C72" s="6">
        <f>$B$9+$B$11/1000*A72</f>
        <v>0</v>
      </c>
      <c r="D72" s="6">
        <f>$B$9+$B$12/1000*A72</f>
        <v>0</v>
      </c>
      <c r="E72" s="17">
        <f>IF(MOD(A72,10)=0,TEXT(A72,"0"),"")</f>
        <v>0</v>
      </c>
      <c r="F72" s="18">
        <f>$B$9</f>
        <v>0</v>
      </c>
      <c r="G72" s="18">
        <f>$B$8-$B$9</f>
        <v>0</v>
      </c>
      <c r="H72" s="18">
        <f>$B$9</f>
        <v>0</v>
      </c>
    </row>
    <row r="73" spans="1:8">
      <c r="A73" s="7">
        <v>-8</v>
      </c>
      <c r="B73" s="6">
        <f>$B$9+$B$10/1000*A73</f>
        <v>0</v>
      </c>
      <c r="C73" s="6">
        <f>$B$9+$B$11/1000*A73</f>
        <v>0</v>
      </c>
      <c r="D73" s="6">
        <f>$B$9+$B$12/1000*A73</f>
        <v>0</v>
      </c>
      <c r="E73" s="17">
        <f>IF(MOD(A73,10)=0,TEXT(A73,"0"),"")</f>
        <v>0</v>
      </c>
      <c r="F73" s="18">
        <f>$B$9</f>
        <v>0</v>
      </c>
      <c r="G73" s="18">
        <f>$B$8-$B$9</f>
        <v>0</v>
      </c>
      <c r="H73" s="18">
        <f>$B$9</f>
        <v>0</v>
      </c>
    </row>
    <row r="74" spans="1:8">
      <c r="A74" s="7">
        <v>-6</v>
      </c>
      <c r="B74" s="6">
        <f>$B$9+$B$10/1000*A74</f>
        <v>0</v>
      </c>
      <c r="C74" s="6">
        <f>$B$9+$B$11/1000*A74</f>
        <v>0</v>
      </c>
      <c r="D74" s="6">
        <f>$B$9+$B$12/1000*A74</f>
        <v>0</v>
      </c>
      <c r="E74" s="17">
        <f>IF(MOD(A74,10)=0,TEXT(A74,"0"),"")</f>
        <v>0</v>
      </c>
      <c r="F74" s="18">
        <f>$B$9</f>
        <v>0</v>
      </c>
      <c r="G74" s="18">
        <f>$B$8-$B$9</f>
        <v>0</v>
      </c>
      <c r="H74" s="18">
        <f>$B$9</f>
        <v>0</v>
      </c>
    </row>
    <row r="75" spans="1:8">
      <c r="A75" s="7">
        <v>-4</v>
      </c>
      <c r="B75" s="6">
        <f>$B$9+$B$10/1000*A75</f>
        <v>0</v>
      </c>
      <c r="C75" s="6">
        <f>$B$9+$B$11/1000*A75</f>
        <v>0</v>
      </c>
      <c r="D75" s="6">
        <f>$B$9+$B$12/1000*A75</f>
        <v>0</v>
      </c>
      <c r="E75" s="17">
        <f>IF(MOD(A75,10)=0,TEXT(A75,"0"),"")</f>
        <v>0</v>
      </c>
      <c r="F75" s="18">
        <f>$B$9</f>
        <v>0</v>
      </c>
      <c r="G75" s="18">
        <f>$B$8-$B$9</f>
        <v>0</v>
      </c>
      <c r="H75" s="18">
        <f>$B$9</f>
        <v>0</v>
      </c>
    </row>
    <row r="76" spans="1:8">
      <c r="A76" s="7">
        <v>-2</v>
      </c>
      <c r="B76" s="6">
        <f>$B$9+$B$10/1000*A76</f>
        <v>0</v>
      </c>
      <c r="C76" s="6">
        <f>$B$9+$B$11/1000*A76</f>
        <v>0</v>
      </c>
      <c r="D76" s="6">
        <f>$B$9+$B$12/1000*A76</f>
        <v>0</v>
      </c>
      <c r="E76" s="17">
        <f>IF(MOD(A76,10)=0,TEXT(A76,"0"),"")</f>
        <v>0</v>
      </c>
      <c r="F76" s="18">
        <f>$B$9</f>
        <v>0</v>
      </c>
      <c r="G76" s="18">
        <f>$B$8-$B$9</f>
        <v>0</v>
      </c>
      <c r="H76" s="18">
        <f>$B$9</f>
        <v>0</v>
      </c>
    </row>
    <row r="77" spans="1:8">
      <c r="A77" s="7">
        <v>0</v>
      </c>
      <c r="B77" s="6">
        <f>$B$9+$B$10/1000*A77</f>
        <v>0</v>
      </c>
      <c r="C77" s="6">
        <f>$B$9+$B$11/1000*A77</f>
        <v>0</v>
      </c>
      <c r="D77" s="6">
        <f>$B$9+$B$12/1000*A77</f>
        <v>0</v>
      </c>
      <c r="E77" s="17">
        <f>IF(MOD(A77,10)=0,TEXT(A77,"0"),"")</f>
        <v>0</v>
      </c>
      <c r="F77" s="18">
        <f>$B$9</f>
        <v>0</v>
      </c>
      <c r="G77" s="18">
        <f>$B$8-$B$9</f>
        <v>0</v>
      </c>
      <c r="H77" s="18">
        <f>$B$9</f>
        <v>0</v>
      </c>
    </row>
    <row r="78" spans="1:8">
      <c r="A78" s="7">
        <v>2</v>
      </c>
      <c r="B78" s="6">
        <f>$B$9+$B$10/1000*A78</f>
        <v>0</v>
      </c>
      <c r="C78" s="6">
        <f>$B$9+$B$11/1000*A78</f>
        <v>0</v>
      </c>
      <c r="D78" s="6">
        <f>$B$9+$B$12/1000*A78</f>
        <v>0</v>
      </c>
      <c r="E78" s="17">
        <f>IF(MOD(A78,10)=0,TEXT(A78,"0"),"")</f>
        <v>0</v>
      </c>
      <c r="F78" s="18">
        <f>$B$9</f>
        <v>0</v>
      </c>
      <c r="G78" s="18">
        <f>$B$8-$B$9</f>
        <v>0</v>
      </c>
      <c r="H78" s="18">
        <f>$B$9</f>
        <v>0</v>
      </c>
    </row>
    <row r="79" spans="1:8">
      <c r="A79" s="7">
        <v>4</v>
      </c>
      <c r="B79" s="6">
        <f>$B$9+$B$10/1000*A79</f>
        <v>0</v>
      </c>
      <c r="C79" s="6">
        <f>$B$9+$B$11/1000*A79</f>
        <v>0</v>
      </c>
      <c r="D79" s="6">
        <f>$B$9+$B$12/1000*A79</f>
        <v>0</v>
      </c>
      <c r="E79" s="17">
        <f>IF(MOD(A79,10)=0,TEXT(A79,"0"),"")</f>
        <v>0</v>
      </c>
      <c r="F79" s="18">
        <f>$B$9</f>
        <v>0</v>
      </c>
      <c r="G79" s="18">
        <f>$B$8-$B$9</f>
        <v>0</v>
      </c>
      <c r="H79" s="18">
        <f>$B$9</f>
        <v>0</v>
      </c>
    </row>
    <row r="80" spans="1:8">
      <c r="A80" s="7">
        <v>6</v>
      </c>
      <c r="B80" s="6">
        <f>$B$9+$B$10/1000*A80</f>
        <v>0</v>
      </c>
      <c r="C80" s="6">
        <f>$B$9+$B$11/1000*A80</f>
        <v>0</v>
      </c>
      <c r="D80" s="6">
        <f>$B$9+$B$12/1000*A80</f>
        <v>0</v>
      </c>
      <c r="E80" s="17">
        <f>IF(MOD(A80,10)=0,TEXT(A80,"0"),"")</f>
        <v>0</v>
      </c>
      <c r="F80" s="18">
        <f>$B$9</f>
        <v>0</v>
      </c>
      <c r="G80" s="18">
        <f>$B$8-$B$9</f>
        <v>0</v>
      </c>
      <c r="H80" s="18">
        <f>$B$9</f>
        <v>0</v>
      </c>
    </row>
    <row r="81" spans="1:8">
      <c r="A81" s="7">
        <v>8</v>
      </c>
      <c r="B81" s="6">
        <f>$B$9+$B$10/1000*A81</f>
        <v>0</v>
      </c>
      <c r="C81" s="6">
        <f>$B$9+$B$11/1000*A81</f>
        <v>0</v>
      </c>
      <c r="D81" s="6">
        <f>$B$9+$B$12/1000*A81</f>
        <v>0</v>
      </c>
      <c r="E81" s="17">
        <f>IF(MOD(A81,10)=0,TEXT(A81,"0"),"")</f>
        <v>0</v>
      </c>
      <c r="F81" s="18">
        <f>$B$9</f>
        <v>0</v>
      </c>
      <c r="G81" s="18">
        <f>$B$8-$B$9</f>
        <v>0</v>
      </c>
      <c r="H81" s="18">
        <f>$B$9</f>
        <v>0</v>
      </c>
    </row>
    <row r="82" spans="1:8">
      <c r="A82" s="7">
        <v>10</v>
      </c>
      <c r="B82" s="6">
        <f>$B$9+$B$10/1000*A82</f>
        <v>0</v>
      </c>
      <c r="C82" s="6">
        <f>$B$9+$B$11/1000*A82</f>
        <v>0</v>
      </c>
      <c r="D82" s="6">
        <f>$B$9+$B$12/1000*A82</f>
        <v>0</v>
      </c>
      <c r="E82" s="17">
        <f>IF(MOD(A82,10)=0,TEXT(A82,"0"),"")</f>
        <v>0</v>
      </c>
      <c r="F82" s="18">
        <f>$B$9</f>
        <v>0</v>
      </c>
      <c r="G82" s="18">
        <f>$B$8-$B$9</f>
        <v>0</v>
      </c>
      <c r="H82" s="18">
        <f>$B$9</f>
        <v>0</v>
      </c>
    </row>
    <row r="83" spans="1:8">
      <c r="A83" s="7">
        <v>12</v>
      </c>
      <c r="B83" s="6">
        <f>$B$9+$B$10/1000*A83</f>
        <v>0</v>
      </c>
      <c r="C83" s="6">
        <f>$B$9+$B$11/1000*A83</f>
        <v>0</v>
      </c>
      <c r="D83" s="6">
        <f>$B$9+$B$12/1000*A83</f>
        <v>0</v>
      </c>
      <c r="E83" s="17">
        <f>IF(MOD(A83,10)=0,TEXT(A83,"0"),"")</f>
        <v>0</v>
      </c>
      <c r="F83" s="18">
        <f>$B$9</f>
        <v>0</v>
      </c>
      <c r="G83" s="18">
        <f>$B$8-$B$9</f>
        <v>0</v>
      </c>
      <c r="H83" s="18">
        <f>$B$9</f>
        <v>0</v>
      </c>
    </row>
    <row r="84" spans="1:8">
      <c r="A84" s="7">
        <v>14</v>
      </c>
      <c r="B84" s="6">
        <f>$B$9+$B$10/1000*A84</f>
        <v>0</v>
      </c>
      <c r="C84" s="6">
        <f>$B$9+$B$11/1000*A84</f>
        <v>0</v>
      </c>
      <c r="D84" s="6">
        <f>$B$9+$B$12/1000*A84</f>
        <v>0</v>
      </c>
      <c r="E84" s="17">
        <f>IF(MOD(A84,10)=0,TEXT(A84,"0"),"")</f>
        <v>0</v>
      </c>
      <c r="F84" s="18">
        <f>$B$9</f>
        <v>0</v>
      </c>
      <c r="G84" s="18">
        <f>$B$8-$B$9</f>
        <v>0</v>
      </c>
      <c r="H84" s="18">
        <f>$B$9</f>
        <v>0</v>
      </c>
    </row>
    <row r="85" spans="1:8">
      <c r="A85" s="7">
        <v>16</v>
      </c>
      <c r="B85" s="6">
        <f>$B$9+$B$10/1000*A85</f>
        <v>0</v>
      </c>
      <c r="C85" s="6">
        <f>$B$9+$B$11/1000*A85</f>
        <v>0</v>
      </c>
      <c r="D85" s="6">
        <f>$B$9+$B$12/1000*A85</f>
        <v>0</v>
      </c>
      <c r="E85" s="17">
        <f>IF(MOD(A85,10)=0,TEXT(A85,"0"),"")</f>
        <v>0</v>
      </c>
      <c r="F85" s="18">
        <f>$B$9</f>
        <v>0</v>
      </c>
      <c r="G85" s="18">
        <f>$B$8-$B$9</f>
        <v>0</v>
      </c>
      <c r="H85" s="18">
        <f>$B$9</f>
        <v>0</v>
      </c>
    </row>
    <row r="86" spans="1:8">
      <c r="A86" s="7">
        <v>18</v>
      </c>
      <c r="B86" s="6">
        <f>$B$9+$B$10/1000*A86</f>
        <v>0</v>
      </c>
      <c r="C86" s="6">
        <f>$B$9+$B$11/1000*A86</f>
        <v>0</v>
      </c>
      <c r="D86" s="6">
        <f>$B$9+$B$12/1000*A86</f>
        <v>0</v>
      </c>
      <c r="E86" s="17">
        <f>IF(MOD(A86,10)=0,TEXT(A86,"0"),"")</f>
        <v>0</v>
      </c>
      <c r="F86" s="18">
        <f>$B$9</f>
        <v>0</v>
      </c>
      <c r="G86" s="18">
        <f>$B$8-$B$9</f>
        <v>0</v>
      </c>
      <c r="H86" s="18">
        <f>$B$9</f>
        <v>0</v>
      </c>
    </row>
    <row r="87" spans="1:8">
      <c r="A87" s="7">
        <v>20</v>
      </c>
      <c r="B87" s="6">
        <f>$B$9+$B$10/1000*A87</f>
        <v>0</v>
      </c>
      <c r="C87" s="6">
        <f>$B$9+$B$11/1000*A87</f>
        <v>0</v>
      </c>
      <c r="D87" s="6">
        <f>$B$9+$B$12/1000*A87</f>
        <v>0</v>
      </c>
      <c r="E87" s="17">
        <f>IF(MOD(A87,10)=0,TEXT(A87,"0"),"")</f>
        <v>0</v>
      </c>
      <c r="F87" s="18">
        <f>$B$9</f>
        <v>0</v>
      </c>
      <c r="G87" s="18">
        <f>$B$8-$B$9</f>
        <v>0</v>
      </c>
      <c r="H87" s="18">
        <f>$B$9</f>
        <v>0</v>
      </c>
    </row>
    <row r="88" spans="1:8">
      <c r="A88" s="7">
        <v>22</v>
      </c>
      <c r="B88" s="6">
        <f>$B$9+$B$10/1000*A88</f>
        <v>0</v>
      </c>
      <c r="C88" s="6">
        <f>$B$9+$B$11/1000*A88</f>
        <v>0</v>
      </c>
      <c r="D88" s="6">
        <f>$B$9+$B$12/1000*A88</f>
        <v>0</v>
      </c>
      <c r="E88" s="17">
        <f>IF(MOD(A88,10)=0,TEXT(A88,"0"),"")</f>
        <v>0</v>
      </c>
      <c r="F88" s="18">
        <f>$B$9</f>
        <v>0</v>
      </c>
      <c r="G88" s="18">
        <f>$B$8-$B$9</f>
        <v>0</v>
      </c>
      <c r="H88" s="18">
        <f>$B$9</f>
        <v>0</v>
      </c>
    </row>
    <row r="90" spans="1:8" ht="32" customHeight="1">
      <c r="A90" s="8" t="s">
        <v>54</v>
      </c>
      <c r="B90" s="8"/>
      <c r="C90" s="8"/>
      <c r="D90" s="8"/>
      <c r="E90" s="8"/>
    </row>
  </sheetData>
  <mergeCells count="3">
    <mergeCell ref="A17:E17"/>
    <mergeCell ref="A62:E62"/>
    <mergeCell ref="A90:E90"/>
  </mergeCells>
  <pageMargins left="0.6" right="0.6" top="0.7" bottom="0.7" header="0.3" footer="0.3"/>
  <pageSetup paperSize="9" fitToHeight="0" orientation="portrait"/>
  <headerFooter>
    <oddFooter>&amp;C&amp;"Calibri"&amp;10Alfréd Krutina — 3.C S3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"/>
  <sheetViews>
    <sheetView showGridLines="0" tabSelected="1" workbookViewId="0"/>
  </sheetViews>
  <sheetFormatPr defaultRowHeight="15"/>
  <cols>
    <col min="1" max="1" width="3.7109375" customWidth="1"/>
  </cols>
  <sheetData>
    <row r="1" spans="2:2">
      <c r="B1" s="2" t="s">
        <v>55</v>
      </c>
    </row>
  </sheetData>
  <pageMargins left="0.5" right="0.5" top="0.6" bottom="0.6" header="0.3" footer="0.3"/>
  <pageSetup paperSize="9" orientation="landscape"/>
  <headerFooter>
    <oddFooter>&amp;C&amp;"Calibri"&amp;10Alfréd Krutina — 3.C S3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Grafy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Porovnání jazýčkového spínače a DRV5055</dc:title>
  <dc:subject>V1 jazýček a V2 Hallův senzor</dc:subject>
  <dc:creator>Alfréd Krutina</dc:creator>
  <cp:lastModifiedBy>Alfréd Krutina</cp:lastModifiedBy>
  <dcterms:created xsi:type="dcterms:W3CDTF">2026-10-28T09:46:30Z</dcterms:created>
  <dcterms:modified xsi:type="dcterms:W3CDTF">2026-10-28T09:46:30Z</dcterms:modified>
</cp:coreProperties>
</file>